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Mark" sheetId="1" r:id="rId5"/>
    <sheet state="visible" name="Group_Infos" sheetId="2" r:id="rId6"/>
  </sheets>
  <definedNames/>
  <calcPr/>
</workbook>
</file>

<file path=xl/sharedStrings.xml><?xml version="1.0" encoding="utf-8"?>
<sst xmlns="http://schemas.openxmlformats.org/spreadsheetml/2006/main" count="186" uniqueCount="186">
  <si>
    <t>Nhom 1</t>
  </si>
  <si>
    <t>Nhom 2</t>
  </si>
  <si>
    <t>Nhom 3</t>
  </si>
  <si>
    <t>Nhom 4</t>
  </si>
  <si>
    <t>Nhom 5</t>
  </si>
  <si>
    <t>Nhom 6</t>
  </si>
  <si>
    <t>Nhom 7</t>
  </si>
  <si>
    <t>Nhom 8</t>
  </si>
  <si>
    <t>Nhom 9</t>
  </si>
  <si>
    <t>Nhom 10</t>
  </si>
  <si>
    <t>Nhom 11</t>
  </si>
  <si>
    <t>Nhom 12</t>
  </si>
  <si>
    <t>Nhom 13</t>
  </si>
  <si>
    <t>Nhom 15</t>
  </si>
  <si>
    <r>
      <rPr>
        <rFont val="Times New Roman"/>
        <b/>
        <i/>
        <color theme="1"/>
        <sz val="12.0"/>
        <u/>
      </rPr>
      <t>Task 1</t>
    </r>
    <r>
      <rPr>
        <rFont val="Times New Roman"/>
        <b/>
        <i val="0"/>
        <color theme="1"/>
        <sz val="12.0"/>
        <u/>
      </rPr>
      <t>: Software Architecture Design: 55%</t>
    </r>
  </si>
  <si>
    <t>1. Thoroughly describe the context of ITS: 5%</t>
  </si>
  <si>
    <t>2. Compare and choose suitable architecture styles: 3%</t>
  </si>
  <si>
    <t xml:space="preserve">3. Create the software architecture for the ITS: 20% </t>
  </si>
  <si>
    <t>3.1. Module view: 12%</t>
  </si>
  <si>
    <t>3.2. Component-and-Connector view: 5%</t>
  </si>
  <si>
    <t>3.3. Allocation view: 3%</t>
  </si>
  <si>
    <t>4. Create a UML Class Diagram: 7%</t>
  </si>
  <si>
    <t>5. Apply SOLID Principles to the design: 15%</t>
  </si>
  <si>
    <t>5.1. Single Responsibility: 3%</t>
  </si>
  <si>
    <t>5.2. Open/Closed: 3%</t>
  </si>
  <si>
    <t>5.3. Liskov Substitution: 3%</t>
  </si>
  <si>
    <t>5.4. Interface Segregation: 3%</t>
  </si>
  <si>
    <t>5.5. Dependency Inversion: 3%</t>
  </si>
  <si>
    <t>6. Future Extensibility: 5%</t>
  </si>
  <si>
    <r>
      <rPr>
        <rFont val="Times New Roman"/>
        <b/>
        <i/>
        <color theme="1"/>
        <sz val="12.0"/>
        <u/>
      </rPr>
      <t>Task 2</t>
    </r>
    <r>
      <rPr>
        <rFont val="Times New Roman"/>
        <b/>
        <i val="0"/>
        <color theme="1"/>
        <sz val="12.0"/>
        <u/>
      </rPr>
      <t>: Code Implementation: 30%</t>
    </r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</si>
  <si>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2.0"/>
      </rPr>
      <t>Implement Core Functionalities: 15%</t>
    </r>
  </si>
  <si>
    <t xml:space="preserve">      1.1. The chosen functionalities run correctly (in total): 15%</t>
  </si>
  <si>
    <t xml:space="preserve">      1.2. Implement more than 1 module: +10% (bonus)</t>
  </si>
  <si>
    <t>2. Apply SOLID Principles in Code: 15%</t>
  </si>
  <si>
    <t>2.1. Single Responsibility: 3%</t>
  </si>
  <si>
    <t>2.2. Open/Closed: 3%</t>
  </si>
  <si>
    <t>2.3. Liskov Substitution: 3%</t>
  </si>
  <si>
    <t>2.4. Interface Segregation: 3%</t>
  </si>
  <si>
    <t>2.5. Dependency Inversion: 3%</t>
  </si>
  <si>
    <r>
      <rPr>
        <rFont val="Times New Roman"/>
        <b/>
        <i/>
        <color theme="1"/>
        <sz val="12.0"/>
        <u/>
      </rPr>
      <t>Task 3</t>
    </r>
    <r>
      <rPr>
        <rFont val="Times New Roman"/>
        <b/>
        <i val="0"/>
        <color theme="1"/>
        <sz val="12.0"/>
        <u/>
      </rPr>
      <t>: Documentation and Reporting: 5%</t>
    </r>
  </si>
  <si>
    <r>
      <rPr>
        <rFont val="Times New Roman"/>
        <color theme="1"/>
        <sz val="12.0"/>
      </rPr>
      <t>1.</t>
    </r>
    <r>
      <rPr>
        <rFont val="Times New Roman"/>
        <color theme="1"/>
        <sz val="7.0"/>
      </rPr>
      <t> </t>
    </r>
    <r>
      <rPr>
        <rFont val="Times New Roman"/>
        <color theme="1"/>
        <sz val="12.0"/>
      </rPr>
      <t>Reflection Report: 3%</t>
    </r>
  </si>
  <si>
    <t>2. Division of work: 2%</t>
  </si>
  <si>
    <r>
      <rPr>
        <rFont val="Times New Roman"/>
        <b/>
        <i/>
        <color theme="1"/>
        <sz val="12.0"/>
        <u/>
      </rPr>
      <t>Presentation (demo)</t>
    </r>
    <r>
      <rPr>
        <rFont val="Times New Roman"/>
        <b/>
        <i val="0"/>
        <color theme="1"/>
        <sz val="12.0"/>
        <u/>
      </rPr>
      <t>: 10%</t>
    </r>
  </si>
  <si>
    <t xml:space="preserve"> + Demo: 2%</t>
  </si>
  <si>
    <t xml:space="preserve"> + Presentation skills: 3%</t>
  </si>
  <si>
    <t xml:space="preserve"> + Slides: 3%</t>
  </si>
  <si>
    <t xml:space="preserve"> + Q&amp;A: 2%</t>
  </si>
  <si>
    <t>SEMIAR (+10%) BOUNUS</t>
  </si>
  <si>
    <t>Total (100%)</t>
  </si>
  <si>
    <t>Note</t>
  </si>
  <si>
    <t>MSSV</t>
  </si>
  <si>
    <t xml:space="preserve">Họ và tên </t>
  </si>
  <si>
    <t>Mail</t>
  </si>
  <si>
    <t>Nhóm</t>
  </si>
  <si>
    <t>Lữ Quốc Pháp</t>
  </si>
  <si>
    <t>phap.luquoc@hcmut.edu.vn</t>
  </si>
  <si>
    <t>Nguyễn Lê Nguyên</t>
  </si>
  <si>
    <t>nguyen.nguyenbkukmt@hcmut.edu.vn</t>
  </si>
  <si>
    <t>Trần Trọng Nghĩa</t>
  </si>
  <si>
    <t>nghia.trantrong0409@hcmut.edu.vn</t>
  </si>
  <si>
    <t>Lê Sĩ Nhật Quang</t>
  </si>
  <si>
    <t>Nguyễn Đức Phương</t>
  </si>
  <si>
    <t>Nguyễn Thiện Minh</t>
  </si>
  <si>
    <t>minh.nguyenrun@hcmut.edu.vn</t>
  </si>
  <si>
    <t>Nguyễn Vạn Xuân</t>
  </si>
  <si>
    <t>xuan.nguyenvanxuan@hcmut.edu.vn</t>
  </si>
  <si>
    <t xml:space="preserve">Nguyễn Đặng Thế Hoàng </t>
  </si>
  <si>
    <t>hoang.nguyen1011@hcmut.edu.vn</t>
  </si>
  <si>
    <t>Nguyễn Vũ Tường</t>
  </si>
  <si>
    <t>tuong.nguyenvu106k23@hcmut.edu.vn</t>
  </si>
  <si>
    <t>Nguyễn Trọng Hào</t>
  </si>
  <si>
    <t>hao.nguyenrohan695@hcmut.edu.vn</t>
  </si>
  <si>
    <t xml:space="preserve"> Nguyễn Tấn Phước</t>
  </si>
  <si>
    <t>phuoc.nguyen2005@hcmut.edu.vn</t>
  </si>
  <si>
    <t>Nguyễn Minh Tuấn</t>
  </si>
  <si>
    <t>tuan.nguyencapoo@hcmut.edu.vn</t>
  </si>
  <si>
    <t>Vũ Anh Tuấn</t>
  </si>
  <si>
    <t>tuan.vuatuan2k4@hcmut.edu.vn</t>
  </si>
  <si>
    <t>Nguyễn Minh Tân</t>
  </si>
  <si>
    <t>tan.nguyendn14042004@hcmut.edu.vn</t>
  </si>
  <si>
    <t>Nguyễn Văn Dũng</t>
  </si>
  <si>
    <t>dung.nguyenvan3864@hcmut.edu.vn</t>
  </si>
  <si>
    <t>Trần Minh Quang</t>
  </si>
  <si>
    <t>quang.tranminh@hcmut.edu.vn</t>
  </si>
  <si>
    <t>Lê Trần Anh Dũng</t>
  </si>
  <si>
    <t>dung.letrananh@hcmut.edu.vn</t>
  </si>
  <si>
    <t>Nguyễn Gia Khánh</t>
  </si>
  <si>
    <t>khanh.nguyen0403@hcmut.edu.vn</t>
  </si>
  <si>
    <t>Nguyễn Tăng Vũ</t>
  </si>
  <si>
    <t>vu.nguyenntv412305@hcmut.edu.vn</t>
  </si>
  <si>
    <t>Nguyễn Đức Duy</t>
  </si>
  <si>
    <t>duy.nguyen1010fight@hcmut.edu.vn</t>
  </si>
  <si>
    <t>Nguyễn Hữu Thiên Cường</t>
  </si>
  <si>
    <t>cuong.nguyenhuuthien@hcmut.edu.vn</t>
  </si>
  <si>
    <t>Phạm Xuân Vũ</t>
  </si>
  <si>
    <t>vu.phamxuan2806@hcmut.edu.vn</t>
  </si>
  <si>
    <t>Lê Bảo Linh</t>
  </si>
  <si>
    <t>linh.lee@hcmut.edu.vn</t>
  </si>
  <si>
    <t>Phạm Đình Chương</t>
  </si>
  <si>
    <t>chuong.phamwarclork@hcmut.edu.vn</t>
  </si>
  <si>
    <t>Nguyễn Nhật Tân</t>
  </si>
  <si>
    <t>tan.nguyennhat2k4@hcmut.edu.vn</t>
  </si>
  <si>
    <t>Trần Phú</t>
  </si>
  <si>
    <t>phu.tranfirewall00@hcmut.edu.vn</t>
  </si>
  <si>
    <t>Trần Minh Đăng</t>
  </si>
  <si>
    <t>dang.tran2310735da@hcmut.edu.vn</t>
  </si>
  <si>
    <t>Hà Đình Vinh</t>
  </si>
  <si>
    <t>vinh.ha230905@hcmut.edu.vn</t>
  </si>
  <si>
    <t>Trần Tiến Đạt</t>
  </si>
  <si>
    <t>dat.tran3012@gmail.com</t>
  </si>
  <si>
    <t>Nguyễn Phạm Mạnh Dũng</t>
  </si>
  <si>
    <t>dung.nguyen29105@hcmut.edu.vn</t>
  </si>
  <si>
    <t>Nguyễn Ngọc Hải Đăng</t>
  </si>
  <si>
    <t>dang.nguyen25102005@hcmut.edu.vn</t>
  </si>
  <si>
    <t>Trần Anh Hào</t>
  </si>
  <si>
    <t>hao.trananhhao71@hcmut.edu.vn</t>
  </si>
  <si>
    <t>Trần Phạm Minh Hiếu</t>
  </si>
  <si>
    <t>hieu.tran3125@hcmut.edu.vn</t>
  </si>
  <si>
    <t>Đặng Thành Duy Đan</t>
  </si>
  <si>
    <t>dan.dang2005@hcmut.edu.vn</t>
  </si>
  <si>
    <t>Đỗ Quang Long</t>
  </si>
  <si>
    <t>long.doquang1896@hcmut.edu.vn</t>
  </si>
  <si>
    <t>Lê Hoàng Luân</t>
  </si>
  <si>
    <t>luan.le2311982@hcmut.edu.vn</t>
  </si>
  <si>
    <t xml:space="preserve">Lê Thúy Hiền </t>
  </si>
  <si>
    <t>hien.lethuy@hcmut.edu.vn</t>
  </si>
  <si>
    <t>Nguyễn Hải Trung</t>
  </si>
  <si>
    <t>trung.nguyen2004@hcmut.edu.vn</t>
  </si>
  <si>
    <t>Tô Thế Hưng</t>
  </si>
  <si>
    <t>hung.totothehung@hcmut.edu.vn</t>
  </si>
  <si>
    <t>Trần Nhật Đăng</t>
  </si>
  <si>
    <t>dang.trannh388@hcmut.edu.vn</t>
  </si>
  <si>
    <t>Đặng Phạm Gia Long</t>
  </si>
  <si>
    <t>long.dang2311892@hcmut.edu.vn</t>
  </si>
  <si>
    <t>Lưu Quang Khải</t>
  </si>
  <si>
    <t>khai.luuquangnvc@hcmut.edu.vn</t>
  </si>
  <si>
    <t>Nguyễn Hữu Khang</t>
  </si>
  <si>
    <t>khang.nguyenkhanghuu14@hcmut.edu.vn</t>
  </si>
  <si>
    <t>Cấn Hoàng Hà</t>
  </si>
  <si>
    <t>ha.canhoang2005@hcmut.edu.vn</t>
  </si>
  <si>
    <t>Nguyễn Công Huy</t>
  </si>
  <si>
    <t>huy.nguyencong@hcmut.edu.vn</t>
  </si>
  <si>
    <t>Lê Phan Khải Vinh</t>
  </si>
  <si>
    <t>vinh.lephankhai@hcmut.edu.vn</t>
  </si>
  <si>
    <t>Nguyễn Khắc Khánh Huy</t>
  </si>
  <si>
    <t>huy.nguyenkhackhanh@hcmut.edu.vn</t>
  </si>
  <si>
    <t>Phan Huy Quang Minh</t>
  </si>
  <si>
    <t>minh.phan2312105@hcmut.edu.vn</t>
  </si>
  <si>
    <t>Ngô Hùng Thanh</t>
  </si>
  <si>
    <t>hung.ngothanh@hcmut.edu.vn</t>
  </si>
  <si>
    <t>Nguyễn Trí Hải</t>
  </si>
  <si>
    <t>hai.nguyentrihai@hcmut.edu.vn</t>
  </si>
  <si>
    <t>Hà Cao Đức Minh</t>
  </si>
  <si>
    <t>minh.ha02211050@hcmut.edu.vn</t>
  </si>
  <si>
    <t>Lê Nguyễn Tường Linh</t>
  </si>
  <si>
    <t>linh.lemybkmd@hcmut.edu.vn</t>
  </si>
  <si>
    <t>Hoàng Minh Hiếu</t>
  </si>
  <si>
    <t>hieu.hoangminh832004@hcmut.edu.vn</t>
  </si>
  <si>
    <t>Huỳnh Đức Nguyên</t>
  </si>
  <si>
    <t>nguyen.huynh3103@hcmut.edu.vn</t>
  </si>
  <si>
    <t>Vũ Đức Toàn</t>
  </si>
  <si>
    <t>toan.vuduc2004@hcmut.edu.vn</t>
  </si>
  <si>
    <t xml:space="preserve">Phan Duệ Triết </t>
  </si>
  <si>
    <t>triet.phanbachkhoa@hcmut.edu.vn</t>
  </si>
  <si>
    <t>Thân Thiên Kim</t>
  </si>
  <si>
    <t xml:space="preserve">kim.thanthien04@hcmut.edu.vn </t>
  </si>
  <si>
    <t>Dương Gia Lâm</t>
  </si>
  <si>
    <t>lam.duongousaytseb@hcmut.edu.vn</t>
  </si>
  <si>
    <t>Nguyễn Trần Tiến Anh</t>
  </si>
  <si>
    <t>anh.nguyen2004@hcmut.edu.vn</t>
  </si>
  <si>
    <t>Huỳnh Minh Trọng</t>
  </si>
  <si>
    <t>trong.huynhminh@hcmut.edu.vn</t>
  </si>
  <si>
    <t>Nguyễn Chí Cường</t>
  </si>
  <si>
    <t>cuong.nguyenchis1712@hcmut.edu.vn</t>
  </si>
  <si>
    <t>Lê Quốc Thái</t>
  </si>
  <si>
    <t>thai.lebachkhoa@hcmut.edu.vn</t>
  </si>
  <si>
    <t>Nguyễn Gia Nguyên</t>
  </si>
  <si>
    <t>nguyen.nguyengiabk22@hcmut.edu.vn</t>
  </si>
  <si>
    <t xml:space="preserve"> Lê Duy Khang</t>
  </si>
  <si>
    <t>khang.leduy1201@hcmut.edu.vn</t>
  </si>
  <si>
    <t>Trịnh Minh Hùng</t>
  </si>
  <si>
    <t>hung.trinhminh1904@hcmut.edu.vn</t>
  </si>
  <si>
    <t>Hoàng Anh Hùng</t>
  </si>
  <si>
    <t>hung.hoangcs22@hcmut.edu.vn</t>
  </si>
  <si>
    <t>Đặng Hoàng Thành</t>
  </si>
  <si>
    <t>thanh.dang2005@hcmut.edu.vn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</si>
</sst>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u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</font>
    <font>
      <b/>
      <sz val="11.0"/>
      <color theme="1"/>
      <name val="Times New Roman"/>
    </font>
    <font>
      <sz val="11.0"/>
      <color theme="1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Times New Roman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D1DC"/>
        <bgColor rgb="FFFFD1DC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center"/>
    </xf>
    <xf borderId="1" fillId="3" fontId="1" numFmtId="0" xfId="0" applyBorder="1" applyFont="1"/>
    <xf borderId="1" fillId="2" fontId="3" numFmtId="0" xfId="0" applyAlignment="1" applyBorder="1" applyFont="1">
      <alignment horizontal="left" readingOrder="0" vertical="center"/>
    </xf>
    <xf borderId="1" fillId="2" fontId="1" numFmtId="9" xfId="0" applyBorder="1" applyFont="1" applyNumberForma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2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readingOrder="0" vertical="center"/>
    </xf>
    <xf borderId="1" fillId="4" fontId="1" numFmtId="9" xfId="0" applyBorder="1" applyFont="1" applyNumberFormat="1"/>
    <xf borderId="1" fillId="4" fontId="4" numFmtId="0" xfId="0" applyBorder="1" applyFont="1"/>
    <xf borderId="1" fillId="4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shrinkToFit="0" wrapText="1"/>
    </xf>
    <xf borderId="1" fillId="4" fontId="1" numFmtId="0" xfId="0" applyBorder="1" applyFont="1"/>
    <xf borderId="1" fillId="2" fontId="3" numFmtId="0" xfId="0" applyAlignment="1" applyBorder="1" applyFont="1">
      <alignment vertical="center"/>
    </xf>
    <xf borderId="1" fillId="5" fontId="1" numFmtId="0" xfId="0" applyAlignment="1" applyBorder="1" applyFill="1" applyFont="1">
      <alignment readingOrder="0" shrinkToFit="0" wrapText="1"/>
    </xf>
    <xf borderId="1" fillId="5" fontId="1" numFmtId="9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Border="1" applyFont="1"/>
    <xf borderId="1" fillId="6" fontId="5" numFmtId="0" xfId="0" applyAlignment="1" applyBorder="1" applyFill="1" applyFont="1">
      <alignment shrinkToFit="0" wrapText="1"/>
    </xf>
    <xf borderId="1" fillId="6" fontId="5" numFmtId="0" xfId="0" applyBorder="1" applyFont="1"/>
    <xf borderId="1" fillId="6" fontId="6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7" fontId="11" numFmtId="0" xfId="0" applyAlignment="1" applyFill="1" applyFont="1">
      <alignment horizontal="right" vertical="bottom"/>
    </xf>
    <xf borderId="0" fillId="7" fontId="11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right" vertical="bottom"/>
    </xf>
    <xf borderId="0" fillId="8" fontId="11" numFmtId="0" xfId="0" applyAlignment="1" applyFill="1" applyFont="1">
      <alignment horizontal="right" vertical="bottom"/>
    </xf>
    <xf borderId="0" fillId="8" fontId="11" numFmtId="0" xfId="0" applyAlignment="1" applyFont="1">
      <alignment vertical="bottom"/>
    </xf>
    <xf borderId="0" fillId="8" fontId="11" numFmtId="0" xfId="0" applyAlignment="1" applyFont="1">
      <alignment horizontal="right" readingOrder="0" vertical="bottom"/>
    </xf>
    <xf borderId="0" fillId="9" fontId="11" numFmtId="0" xfId="0" applyAlignment="1" applyFill="1" applyFont="1">
      <alignment horizontal="right" vertical="bottom"/>
    </xf>
    <xf borderId="0" fillId="9" fontId="11" numFmtId="0" xfId="0" applyAlignment="1" applyFont="1">
      <alignment vertical="bottom"/>
    </xf>
    <xf borderId="0" fillId="9" fontId="11" numFmtId="0" xfId="0" applyAlignment="1" applyFont="1">
      <alignment horizontal="right" readingOrder="0" vertical="bottom"/>
    </xf>
    <xf borderId="0" fillId="7" fontId="11" numFmtId="0" xfId="0" applyAlignment="1" applyFont="1">
      <alignment horizontal="right" readingOrder="0" vertical="bottom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right" vertical="bottom"/>
    </xf>
    <xf borderId="0" fillId="10" fontId="11" numFmtId="0" xfId="0" applyAlignment="1" applyFill="1" applyFont="1">
      <alignment horizontal="right" vertical="bottom"/>
    </xf>
    <xf borderId="0" fillId="10" fontId="11" numFmtId="0" xfId="0" applyAlignment="1" applyFont="1">
      <alignment vertical="bottom"/>
    </xf>
    <xf borderId="0" fillId="10" fontId="11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11" fontId="11" numFmtId="0" xfId="0" applyAlignment="1" applyFill="1" applyFont="1">
      <alignment horizontal="right" vertical="bottom"/>
    </xf>
    <xf borderId="0" fillId="11" fontId="11" numFmtId="0" xfId="0" applyAlignment="1" applyFont="1">
      <alignment vertical="bottom"/>
    </xf>
    <xf borderId="0" fillId="11" fontId="11" numFmtId="0" xfId="0" applyAlignment="1" applyFont="1">
      <alignment horizontal="right" readingOrder="0" vertical="bottom"/>
    </xf>
    <xf borderId="1" fillId="0" fontId="9" numFmtId="0" xfId="0" applyAlignment="1" applyBorder="1" applyFont="1">
      <alignment shrinkToFit="0" vertical="bottom" wrapText="1"/>
    </xf>
    <xf borderId="0" fillId="12" fontId="11" numFmtId="0" xfId="0" applyAlignment="1" applyFill="1" applyFont="1">
      <alignment horizontal="right" vertical="bottom"/>
    </xf>
    <xf borderId="0" fillId="12" fontId="11" numFmtId="0" xfId="0" applyAlignment="1" applyFont="1">
      <alignment vertical="bottom"/>
    </xf>
    <xf borderId="0" fillId="12" fontId="13" numFmtId="0" xfId="0" applyAlignment="1" applyFont="1">
      <alignment vertical="bottom"/>
    </xf>
    <xf borderId="0" fillId="12" fontId="11" numFmtId="0" xfId="0" applyAlignment="1" applyFont="1">
      <alignment horizontal="right" readingOrder="0" vertical="bottom"/>
    </xf>
    <xf borderId="0" fillId="0" fontId="9" numFmtId="0" xfId="0" applyAlignment="1" applyFont="1">
      <alignment readingOrder="0" shrinkToFit="0" wrapText="1"/>
    </xf>
    <xf borderId="0" fillId="11" fontId="10" numFmtId="0" xfId="0" applyAlignment="1" applyFont="1">
      <alignment shrinkToFit="0" wrapText="1"/>
    </xf>
    <xf borderId="0" fillId="12" fontId="14" numFmtId="0" xfId="0" applyAlignment="1" applyFont="1">
      <alignment vertical="bottom"/>
    </xf>
    <xf borderId="0" fillId="13" fontId="11" numFmtId="0" xfId="0" applyAlignment="1" applyFill="1" applyFont="1">
      <alignment horizontal="right" vertical="bottom"/>
    </xf>
    <xf borderId="0" fillId="13" fontId="11" numFmtId="0" xfId="0" applyAlignment="1" applyFont="1">
      <alignment vertical="bottom"/>
    </xf>
    <xf borderId="0" fillId="13" fontId="11" numFmtId="0" xfId="0" applyAlignment="1" applyFont="1">
      <alignment horizontal="right" readingOrder="0" vertical="bottom"/>
    </xf>
    <xf borderId="0" fillId="13" fontId="15" numFmtId="0" xfId="0" applyAlignment="1" applyFont="1">
      <alignment vertical="bottom"/>
    </xf>
    <xf borderId="0" fillId="7" fontId="11" numFmtId="0" xfId="0" applyAlignment="1" applyFont="1">
      <alignment horizontal="center" vertical="bottom"/>
    </xf>
    <xf borderId="0" fillId="14" fontId="11" numFmtId="0" xfId="0" applyAlignment="1" applyFill="1" applyFont="1">
      <alignment horizontal="right" vertical="bottom"/>
    </xf>
    <xf borderId="0" fillId="14" fontId="1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ng.dang23118922hcmut.edu.vn/" TargetMode="External"/><Relationship Id="rId2" Type="http://schemas.openxmlformats.org/officeDocument/2006/relationships/hyperlink" Target="http://long.dang23118922hcmut.edu.vn/" TargetMode="External"/><Relationship Id="rId3" Type="http://schemas.openxmlformats.org/officeDocument/2006/relationships/hyperlink" Target="http://long.dang23118922hcmut.edu.vn/" TargetMode="External"/><Relationship Id="rId4" Type="http://schemas.openxmlformats.org/officeDocument/2006/relationships/hyperlink" Target="http://long.dang23118922hcmut.edu.vn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9.0"/>
    <col customWidth="1" min="3" max="3" width="8.71"/>
    <col customWidth="1" min="4" max="4" width="9.0"/>
    <col customWidth="1" min="5" max="10" width="8.0"/>
    <col customWidth="1" min="11" max="13" width="9.0"/>
    <col customWidth="1" min="14" max="14" width="9.14"/>
    <col customWidth="1" min="15" max="15" width="9.86"/>
    <col customWidth="1" min="16" max="16" width="16.29"/>
    <col customWidth="1" min="17" max="26" width="9.0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</v>
      </c>
      <c r="B2" s="5"/>
      <c r="C2" s="5">
        <f t="shared" ref="C2:O2" si="1">C3*$B$3+C4*$B$4+C5+C9*$B$9+C10+C16*$B$16</f>
        <v>0</v>
      </c>
      <c r="D2" s="5">
        <f t="shared" si="1"/>
        <v>0</v>
      </c>
      <c r="E2" s="5">
        <f t="shared" si="1"/>
        <v>0</v>
      </c>
      <c r="F2" s="5">
        <f t="shared" si="1"/>
        <v>0</v>
      </c>
      <c r="G2" s="5">
        <f t="shared" si="1"/>
        <v>0</v>
      </c>
      <c r="H2" s="5">
        <f t="shared" si="1"/>
        <v>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</v>
      </c>
      <c r="B3" s="7">
        <v>0.05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16</v>
      </c>
      <c r="B4" s="7">
        <v>0.03</v>
      </c>
      <c r="C4" s="9"/>
      <c r="D4" s="9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17</v>
      </c>
      <c r="B5" s="12"/>
      <c r="C5" s="13">
        <f t="shared" ref="C5:O5" si="2">C6*$B$6+C7*$B$7+C8*$B$8</f>
        <v>0</v>
      </c>
      <c r="D5" s="13">
        <f t="shared" si="2"/>
        <v>0</v>
      </c>
      <c r="E5" s="13">
        <f t="shared" si="2"/>
        <v>0</v>
      </c>
      <c r="F5" s="13">
        <f t="shared" si="2"/>
        <v>0</v>
      </c>
      <c r="G5" s="13">
        <f t="shared" si="2"/>
        <v>0</v>
      </c>
      <c r="H5" s="13">
        <f t="shared" si="2"/>
        <v>0</v>
      </c>
      <c r="I5" s="13">
        <f t="shared" si="2"/>
        <v>0</v>
      </c>
      <c r="J5" s="13">
        <f t="shared" si="2"/>
        <v>0</v>
      </c>
      <c r="K5" s="13">
        <f t="shared" si="2"/>
        <v>0</v>
      </c>
      <c r="L5" s="13">
        <f t="shared" si="2"/>
        <v>0</v>
      </c>
      <c r="M5" s="13">
        <f t="shared" si="2"/>
        <v>0</v>
      </c>
      <c r="N5" s="13">
        <f t="shared" si="2"/>
        <v>0</v>
      </c>
      <c r="O5" s="13">
        <f t="shared" si="2"/>
        <v>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0" t="s">
        <v>18</v>
      </c>
      <c r="B6" s="7">
        <v>0.12</v>
      </c>
      <c r="C6" s="9"/>
      <c r="D6" s="9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19</v>
      </c>
      <c r="B7" s="7">
        <v>0.05</v>
      </c>
      <c r="C7" s="9"/>
      <c r="D7" s="9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20</v>
      </c>
      <c r="B8" s="7">
        <v>0.03</v>
      </c>
      <c r="C8" s="9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21</v>
      </c>
      <c r="B9" s="7">
        <v>0.07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" t="s">
        <v>22</v>
      </c>
      <c r="B10" s="12"/>
      <c r="C10" s="13">
        <f t="shared" ref="C10:O10" si="3">C11*$B$11+C12*$B$12+C13*$B$13+C14*$B$14+C15*$B$15</f>
        <v>0</v>
      </c>
      <c r="D10" s="13">
        <f t="shared" si="3"/>
        <v>0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f t="shared" si="3"/>
        <v>0</v>
      </c>
      <c r="I10" s="13">
        <f t="shared" si="3"/>
        <v>0</v>
      </c>
      <c r="J10" s="13">
        <f t="shared" si="3"/>
        <v>0</v>
      </c>
      <c r="K10" s="13">
        <f t="shared" si="3"/>
        <v>0</v>
      </c>
      <c r="L10" s="13">
        <f t="shared" si="3"/>
        <v>0</v>
      </c>
      <c r="M10" s="13">
        <f t="shared" si="3"/>
        <v>0</v>
      </c>
      <c r="N10" s="13">
        <f t="shared" si="3"/>
        <v>0</v>
      </c>
      <c r="O10" s="13">
        <f t="shared" si="3"/>
        <v>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 t="s">
        <v>23</v>
      </c>
      <c r="B11" s="7">
        <v>0.03</v>
      </c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24</v>
      </c>
      <c r="B12" s="7">
        <v>0.03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25</v>
      </c>
      <c r="B13" s="7">
        <v>0.03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26</v>
      </c>
      <c r="B14" s="7">
        <v>0.03</v>
      </c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27</v>
      </c>
      <c r="B15" s="7">
        <v>0.03</v>
      </c>
      <c r="C15" s="9"/>
      <c r="D15" s="9"/>
      <c r="E15" s="15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28</v>
      </c>
      <c r="B16" s="7">
        <v>0.05</v>
      </c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29</v>
      </c>
      <c r="B17" s="5"/>
      <c r="C17" s="5">
        <f t="shared" ref="C17:O17" si="4">C18+C21</f>
        <v>0</v>
      </c>
      <c r="D17" s="5">
        <f t="shared" si="4"/>
        <v>0</v>
      </c>
      <c r="E17" s="5">
        <f t="shared" si="4"/>
        <v>0</v>
      </c>
      <c r="F17" s="5">
        <f t="shared" si="4"/>
        <v>0</v>
      </c>
      <c r="G17" s="5">
        <f t="shared" si="4"/>
        <v>0</v>
      </c>
      <c r="H17" s="5">
        <f t="shared" si="4"/>
        <v>0</v>
      </c>
      <c r="I17" s="5">
        <f t="shared" si="4"/>
        <v>0</v>
      </c>
      <c r="J17" s="5">
        <f t="shared" si="4"/>
        <v>0</v>
      </c>
      <c r="K17" s="5">
        <f t="shared" si="4"/>
        <v>0</v>
      </c>
      <c r="L17" s="5">
        <f t="shared" si="4"/>
        <v>0</v>
      </c>
      <c r="M17" s="5">
        <f t="shared" si="4"/>
        <v>0</v>
      </c>
      <c r="N17" s="5">
        <f t="shared" si="4"/>
        <v>0</v>
      </c>
      <c r="O17" s="5">
        <f t="shared" si="4"/>
        <v>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 t="s">
        <v>30</v>
      </c>
      <c r="B18" s="16"/>
      <c r="C18" s="13">
        <f t="shared" ref="C18:O18" si="5">C19*$B$19+C20*$B$20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0</v>
      </c>
      <c r="H18" s="13">
        <f t="shared" si="5"/>
        <v>0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0</v>
      </c>
      <c r="N18" s="13">
        <f t="shared" si="5"/>
        <v>0</v>
      </c>
      <c r="O18" s="13">
        <f t="shared" si="5"/>
        <v>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 t="s">
        <v>31</v>
      </c>
      <c r="B19" s="7">
        <v>0.15</v>
      </c>
      <c r="C19" s="9"/>
      <c r="D19" s="9"/>
      <c r="E19" s="9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32</v>
      </c>
      <c r="B20" s="7">
        <v>0.1</v>
      </c>
      <c r="C20" s="8"/>
      <c r="D20" s="8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4" t="s">
        <v>33</v>
      </c>
      <c r="B21" s="16"/>
      <c r="C21" s="13">
        <f t="shared" ref="C21:O21" si="6">C22*$B$22+C23*$B$23+C24*$B$24+C25*$B$25+C26*$B$26</f>
        <v>0</v>
      </c>
      <c r="D21" s="13">
        <f t="shared" si="6"/>
        <v>0</v>
      </c>
      <c r="E21" s="13">
        <f t="shared" si="6"/>
        <v>0</v>
      </c>
      <c r="F21" s="13">
        <f t="shared" si="6"/>
        <v>0</v>
      </c>
      <c r="G21" s="13">
        <f t="shared" si="6"/>
        <v>0</v>
      </c>
      <c r="H21" s="13">
        <f t="shared" si="6"/>
        <v>0</v>
      </c>
      <c r="I21" s="13">
        <f t="shared" si="6"/>
        <v>0</v>
      </c>
      <c r="J21" s="13">
        <f t="shared" si="6"/>
        <v>0</v>
      </c>
      <c r="K21" s="13">
        <f t="shared" si="6"/>
        <v>0</v>
      </c>
      <c r="L21" s="13">
        <f t="shared" si="6"/>
        <v>0</v>
      </c>
      <c r="M21" s="13">
        <f t="shared" si="6"/>
        <v>0</v>
      </c>
      <c r="N21" s="13">
        <f t="shared" si="6"/>
        <v>0</v>
      </c>
      <c r="O21" s="13">
        <f t="shared" si="6"/>
        <v>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0" t="s">
        <v>34</v>
      </c>
      <c r="B22" s="7">
        <v>0.03</v>
      </c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35</v>
      </c>
      <c r="B23" s="7">
        <v>0.03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36</v>
      </c>
      <c r="B24" s="7">
        <v>0.03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37</v>
      </c>
      <c r="B25" s="7">
        <v>0.03</v>
      </c>
      <c r="C25" s="8"/>
      <c r="D25" s="8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38</v>
      </c>
      <c r="B26" s="7">
        <v>0.03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" t="s">
        <v>39</v>
      </c>
      <c r="B27" s="5"/>
      <c r="C27" s="5">
        <f t="shared" ref="C27:O27" si="7">C28*$B$28+C29*$B$29</f>
        <v>0</v>
      </c>
      <c r="D27" s="5">
        <f t="shared" si="7"/>
        <v>0</v>
      </c>
      <c r="E27" s="5">
        <f t="shared" si="7"/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0</v>
      </c>
      <c r="N27" s="5">
        <f t="shared" si="7"/>
        <v>0</v>
      </c>
      <c r="O27" s="5">
        <f t="shared" si="7"/>
        <v>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40</v>
      </c>
      <c r="B28" s="7">
        <v>0.03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 t="s">
        <v>41</v>
      </c>
      <c r="B29" s="7">
        <v>0.02</v>
      </c>
      <c r="C29" s="9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4" t="s">
        <v>42</v>
      </c>
      <c r="B30" s="5"/>
      <c r="C30" s="5">
        <f t="shared" ref="C30:O30" si="8">C31*$B$31+C32*$B$32+C33*$B$33+C34*$B$34</f>
        <v>0</v>
      </c>
      <c r="D30" s="5">
        <f t="shared" si="8"/>
        <v>0</v>
      </c>
      <c r="E30" s="5">
        <f t="shared" si="8"/>
        <v>0</v>
      </c>
      <c r="F30" s="5">
        <f t="shared" si="8"/>
        <v>0</v>
      </c>
      <c r="G30" s="5">
        <f t="shared" si="8"/>
        <v>0</v>
      </c>
      <c r="H30" s="5">
        <f t="shared" si="8"/>
        <v>0</v>
      </c>
      <c r="I30" s="5">
        <f t="shared" si="8"/>
        <v>0</v>
      </c>
      <c r="J30" s="5">
        <f t="shared" si="8"/>
        <v>0</v>
      </c>
      <c r="K30" s="5">
        <f t="shared" si="8"/>
        <v>0</v>
      </c>
      <c r="L30" s="5">
        <f t="shared" si="8"/>
        <v>0</v>
      </c>
      <c r="M30" s="5">
        <f t="shared" si="8"/>
        <v>0</v>
      </c>
      <c r="N30" s="5">
        <f t="shared" si="8"/>
        <v>0</v>
      </c>
      <c r="O30" s="5">
        <f t="shared" si="8"/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7" t="s">
        <v>43</v>
      </c>
      <c r="B31" s="7">
        <v>0.02</v>
      </c>
      <c r="C31" s="9"/>
      <c r="D31" s="8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7" t="s">
        <v>44</v>
      </c>
      <c r="B32" s="7">
        <v>0.03</v>
      </c>
      <c r="C32" s="9"/>
      <c r="D32" s="9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7" t="s">
        <v>45</v>
      </c>
      <c r="B33" s="7">
        <v>0.03</v>
      </c>
      <c r="C33" s="8"/>
      <c r="D33" s="8"/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7" t="s">
        <v>46</v>
      </c>
      <c r="B34" s="7">
        <v>0.02</v>
      </c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8" t="s">
        <v>47</v>
      </c>
      <c r="B35" s="19">
        <v>0.1</v>
      </c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2" t="s">
        <v>48</v>
      </c>
      <c r="B36" s="23"/>
      <c r="C36" s="24">
        <f t="shared" ref="C36:O36" si="9">MIN(10, ROUND((C2+C17+C27+C30+10%*C35),1))</f>
        <v>0</v>
      </c>
      <c r="D36" s="24">
        <f t="shared" si="9"/>
        <v>0</v>
      </c>
      <c r="E36" s="24">
        <f t="shared" si="9"/>
        <v>0</v>
      </c>
      <c r="F36" s="24">
        <f t="shared" si="9"/>
        <v>0</v>
      </c>
      <c r="G36" s="24">
        <f t="shared" si="9"/>
        <v>0</v>
      </c>
      <c r="H36" s="24">
        <f t="shared" si="9"/>
        <v>0</v>
      </c>
      <c r="I36" s="24">
        <f t="shared" si="9"/>
        <v>0</v>
      </c>
      <c r="J36" s="24">
        <f t="shared" si="9"/>
        <v>0</v>
      </c>
      <c r="K36" s="24">
        <f t="shared" si="9"/>
        <v>0</v>
      </c>
      <c r="L36" s="24">
        <f t="shared" si="9"/>
        <v>0</v>
      </c>
      <c r="M36" s="24">
        <f t="shared" si="9"/>
        <v>0</v>
      </c>
      <c r="N36" s="24">
        <f t="shared" si="9"/>
        <v>0</v>
      </c>
      <c r="O36" s="24">
        <f t="shared" si="9"/>
        <v>0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1"/>
      <c r="B37" s="2"/>
      <c r="C37" s="9"/>
      <c r="D37" s="9"/>
      <c r="E37" s="25"/>
      <c r="F37" s="9"/>
      <c r="G37" s="25"/>
      <c r="H37" s="9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" t="s">
        <v>49</v>
      </c>
      <c r="B38" s="2"/>
      <c r="C38" s="8"/>
      <c r="D38" s="9"/>
      <c r="E38" s="9"/>
      <c r="F38" s="9"/>
      <c r="H38" s="9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26"/>
      <c r="B39" s="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"/>
      <c r="B40" s="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"/>
      <c r="B41" s="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"/>
      <c r="B42" s="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"/>
      <c r="B43" s="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"/>
      <c r="B44" s="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"/>
      <c r="B45" s="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"/>
      <c r="B46" s="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"/>
      <c r="B47" s="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"/>
      <c r="B48" s="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"/>
      <c r="B49" s="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"/>
      <c r="B50" s="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"/>
      <c r="B51" s="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"/>
      <c r="B52" s="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"/>
      <c r="B53" s="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"/>
      <c r="B54" s="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"/>
      <c r="B55" s="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"/>
      <c r="B56" s="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"/>
      <c r="B57" s="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"/>
      <c r="B58" s="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"/>
      <c r="B59" s="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"/>
      <c r="B60" s="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"/>
      <c r="B61" s="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"/>
      <c r="B62" s="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"/>
      <c r="B63" s="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"/>
      <c r="B64" s="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"/>
      <c r="B65" s="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"/>
      <c r="B66" s="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"/>
      <c r="B67" s="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"/>
      <c r="B68" s="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"/>
      <c r="B69" s="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"/>
      <c r="B70" s="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"/>
      <c r="B71" s="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"/>
      <c r="B72" s="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"/>
      <c r="B73" s="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"/>
      <c r="B74" s="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"/>
      <c r="B75" s="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"/>
      <c r="B76" s="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"/>
      <c r="B77" s="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"/>
      <c r="B78" s="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"/>
      <c r="B79" s="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"/>
      <c r="B80" s="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"/>
      <c r="B81" s="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"/>
      <c r="B82" s="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"/>
      <c r="B83" s="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"/>
      <c r="B84" s="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"/>
      <c r="B85" s="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"/>
      <c r="B86" s="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"/>
      <c r="B87" s="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"/>
      <c r="B88" s="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"/>
      <c r="B89" s="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"/>
      <c r="B90" s="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"/>
      <c r="B91" s="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"/>
      <c r="B92" s="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"/>
      <c r="B93" s="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"/>
      <c r="B94" s="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"/>
      <c r="B95" s="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"/>
      <c r="B96" s="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"/>
      <c r="B97" s="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"/>
      <c r="B98" s="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"/>
      <c r="B99" s="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"/>
      <c r="B100" s="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"/>
      <c r="B101" s="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"/>
      <c r="B102" s="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"/>
      <c r="B103" s="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"/>
      <c r="B104" s="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"/>
      <c r="B105" s="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"/>
      <c r="B106" s="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"/>
      <c r="B107" s="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"/>
      <c r="B108" s="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"/>
      <c r="B109" s="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"/>
      <c r="B110" s="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"/>
      <c r="B111" s="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"/>
      <c r="B112" s="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"/>
      <c r="B113" s="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"/>
      <c r="B114" s="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"/>
      <c r="B115" s="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"/>
      <c r="B116" s="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"/>
      <c r="B117" s="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"/>
      <c r="B118" s="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"/>
      <c r="B119" s="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"/>
      <c r="B120" s="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"/>
      <c r="B121" s="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"/>
      <c r="B122" s="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"/>
      <c r="B123" s="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"/>
      <c r="B124" s="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"/>
      <c r="B125" s="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"/>
      <c r="B126" s="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"/>
      <c r="B127" s="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"/>
      <c r="B128" s="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"/>
      <c r="B129" s="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"/>
      <c r="B130" s="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"/>
      <c r="B131" s="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"/>
      <c r="B132" s="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"/>
      <c r="B133" s="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"/>
      <c r="B134" s="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"/>
      <c r="B135" s="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"/>
      <c r="B136" s="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"/>
      <c r="B137" s="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"/>
      <c r="B138" s="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"/>
      <c r="B139" s="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"/>
      <c r="B140" s="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"/>
      <c r="B141" s="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"/>
      <c r="B142" s="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"/>
      <c r="B143" s="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"/>
      <c r="B144" s="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"/>
      <c r="B145" s="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"/>
      <c r="B146" s="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"/>
      <c r="B147" s="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"/>
      <c r="B148" s="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"/>
      <c r="B149" s="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"/>
      <c r="B150" s="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"/>
      <c r="B151" s="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"/>
      <c r="B152" s="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"/>
      <c r="B153" s="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"/>
      <c r="B154" s="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"/>
      <c r="B155" s="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"/>
      <c r="B156" s="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"/>
      <c r="B157" s="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"/>
      <c r="B158" s="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"/>
      <c r="B159" s="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"/>
      <c r="B160" s="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"/>
      <c r="B161" s="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"/>
      <c r="B162" s="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"/>
      <c r="B163" s="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"/>
      <c r="B164" s="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"/>
      <c r="B165" s="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"/>
      <c r="B166" s="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"/>
      <c r="B167" s="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"/>
      <c r="B168" s="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"/>
      <c r="B169" s="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"/>
      <c r="B170" s="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"/>
      <c r="B171" s="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"/>
      <c r="B172" s="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"/>
      <c r="B173" s="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"/>
      <c r="B174" s="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"/>
      <c r="B175" s="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"/>
      <c r="B176" s="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"/>
      <c r="B177" s="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"/>
      <c r="B178" s="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"/>
      <c r="B179" s="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"/>
      <c r="B180" s="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"/>
      <c r="B181" s="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"/>
      <c r="B182" s="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"/>
      <c r="B183" s="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"/>
      <c r="B184" s="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"/>
      <c r="B185" s="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"/>
      <c r="B186" s="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"/>
      <c r="B187" s="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"/>
      <c r="B188" s="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"/>
      <c r="B189" s="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"/>
      <c r="B190" s="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"/>
      <c r="B191" s="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"/>
      <c r="B192" s="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"/>
      <c r="B193" s="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"/>
      <c r="B194" s="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"/>
      <c r="B195" s="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"/>
      <c r="B196" s="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"/>
      <c r="B197" s="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"/>
      <c r="B198" s="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"/>
      <c r="B199" s="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"/>
      <c r="B200" s="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"/>
      <c r="B201" s="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"/>
      <c r="B202" s="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"/>
      <c r="B203" s="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"/>
      <c r="B204" s="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"/>
      <c r="B205" s="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"/>
      <c r="B206" s="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"/>
      <c r="B207" s="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"/>
      <c r="B208" s="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"/>
      <c r="B209" s="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"/>
      <c r="B210" s="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"/>
      <c r="B211" s="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"/>
      <c r="B212" s="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"/>
      <c r="B213" s="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"/>
      <c r="B214" s="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"/>
      <c r="B215" s="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"/>
      <c r="B216" s="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"/>
      <c r="B217" s="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"/>
      <c r="B218" s="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"/>
      <c r="B219" s="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"/>
      <c r="B220" s="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"/>
      <c r="B221" s="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"/>
      <c r="B222" s="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"/>
      <c r="B223" s="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"/>
      <c r="B224" s="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"/>
      <c r="B225" s="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"/>
      <c r="B226" s="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"/>
      <c r="B227" s="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"/>
      <c r="B228" s="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"/>
      <c r="B229" s="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"/>
      <c r="B230" s="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"/>
      <c r="B231" s="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"/>
      <c r="B232" s="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"/>
      <c r="B233" s="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"/>
      <c r="B234" s="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"/>
      <c r="B235" s="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"/>
      <c r="B236" s="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"/>
      <c r="B237" s="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"/>
      <c r="B238" s="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"/>
      <c r="B239" s="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"/>
      <c r="B240" s="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"/>
      <c r="B241" s="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"/>
      <c r="B242" s="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"/>
      <c r="B243" s="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"/>
      <c r="B244" s="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"/>
      <c r="B245" s="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"/>
      <c r="B246" s="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"/>
      <c r="B247" s="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"/>
      <c r="B248" s="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"/>
      <c r="B249" s="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"/>
      <c r="B250" s="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"/>
      <c r="B251" s="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"/>
      <c r="B252" s="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"/>
      <c r="B253" s="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"/>
      <c r="B254" s="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"/>
      <c r="B255" s="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"/>
      <c r="B256" s="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"/>
      <c r="B257" s="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"/>
      <c r="B258" s="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"/>
      <c r="B259" s="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"/>
      <c r="B260" s="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"/>
      <c r="B261" s="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"/>
      <c r="B262" s="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"/>
      <c r="B263" s="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"/>
      <c r="B264" s="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"/>
      <c r="B265" s="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"/>
      <c r="B266" s="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"/>
      <c r="B267" s="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"/>
      <c r="B268" s="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"/>
      <c r="B269" s="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"/>
      <c r="B270" s="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"/>
      <c r="B271" s="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"/>
      <c r="B272" s="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"/>
      <c r="B273" s="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"/>
      <c r="B274" s="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"/>
      <c r="B275" s="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"/>
      <c r="B276" s="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"/>
      <c r="B277" s="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"/>
      <c r="B278" s="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"/>
      <c r="B279" s="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"/>
      <c r="B280" s="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"/>
      <c r="B281" s="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"/>
      <c r="B282" s="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"/>
      <c r="B283" s="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"/>
      <c r="B284" s="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"/>
      <c r="B285" s="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"/>
      <c r="B286" s="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"/>
      <c r="B287" s="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"/>
      <c r="B288" s="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"/>
      <c r="B289" s="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"/>
      <c r="B290" s="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"/>
      <c r="B291" s="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"/>
      <c r="B292" s="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"/>
      <c r="B293" s="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"/>
      <c r="B294" s="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"/>
      <c r="B295" s="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"/>
      <c r="B296" s="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"/>
      <c r="B297" s="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"/>
      <c r="B298" s="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"/>
      <c r="B299" s="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"/>
      <c r="B300" s="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"/>
      <c r="B301" s="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"/>
      <c r="B302" s="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"/>
      <c r="B303" s="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"/>
      <c r="B304" s="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"/>
      <c r="B305" s="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"/>
      <c r="B306" s="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"/>
      <c r="B307" s="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"/>
      <c r="B308" s="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"/>
      <c r="B309" s="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"/>
      <c r="B310" s="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"/>
      <c r="B311" s="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"/>
      <c r="B312" s="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"/>
      <c r="B313" s="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"/>
      <c r="B314" s="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"/>
      <c r="B315" s="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"/>
      <c r="B316" s="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"/>
      <c r="B317" s="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"/>
      <c r="B318" s="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"/>
      <c r="B319" s="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"/>
      <c r="B320" s="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"/>
      <c r="B321" s="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"/>
      <c r="B322" s="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"/>
      <c r="B323" s="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"/>
      <c r="B324" s="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"/>
      <c r="B325" s="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"/>
      <c r="B326" s="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"/>
      <c r="B327" s="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"/>
      <c r="B328" s="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"/>
      <c r="B329" s="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"/>
      <c r="B330" s="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"/>
      <c r="B331" s="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"/>
      <c r="B332" s="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"/>
      <c r="B333" s="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"/>
      <c r="B334" s="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"/>
      <c r="B335" s="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"/>
      <c r="B336" s="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"/>
      <c r="B337" s="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"/>
      <c r="B338" s="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"/>
      <c r="B339" s="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"/>
      <c r="B340" s="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"/>
      <c r="B341" s="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"/>
      <c r="B342" s="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"/>
      <c r="B343" s="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"/>
      <c r="B344" s="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"/>
      <c r="B345" s="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"/>
      <c r="B346" s="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"/>
      <c r="B347" s="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"/>
      <c r="B348" s="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"/>
      <c r="B349" s="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"/>
      <c r="B350" s="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"/>
      <c r="B351" s="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"/>
      <c r="B352" s="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"/>
      <c r="B353" s="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"/>
      <c r="B354" s="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"/>
      <c r="B355" s="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"/>
      <c r="B356" s="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"/>
      <c r="B357" s="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"/>
      <c r="B358" s="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"/>
      <c r="B359" s="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"/>
      <c r="B360" s="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"/>
      <c r="B361" s="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"/>
      <c r="B362" s="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"/>
      <c r="B363" s="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"/>
      <c r="B364" s="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"/>
      <c r="B365" s="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"/>
      <c r="B366" s="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"/>
      <c r="B367" s="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"/>
      <c r="B368" s="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"/>
      <c r="B369" s="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"/>
      <c r="B370" s="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"/>
      <c r="B371" s="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"/>
      <c r="B372" s="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"/>
      <c r="B373" s="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"/>
      <c r="B374" s="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"/>
      <c r="B375" s="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"/>
      <c r="B376" s="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"/>
      <c r="B377" s="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"/>
      <c r="B378" s="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"/>
      <c r="B379" s="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"/>
      <c r="B380" s="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"/>
      <c r="B381" s="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"/>
      <c r="B382" s="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"/>
      <c r="B383" s="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"/>
      <c r="B384" s="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"/>
      <c r="B385" s="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"/>
      <c r="B386" s="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"/>
      <c r="B387" s="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"/>
      <c r="B388" s="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"/>
      <c r="B389" s="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"/>
      <c r="B390" s="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"/>
      <c r="B391" s="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"/>
      <c r="B392" s="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"/>
      <c r="B393" s="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"/>
      <c r="B394" s="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"/>
      <c r="B395" s="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"/>
      <c r="B396" s="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"/>
      <c r="B397" s="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"/>
      <c r="B398" s="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"/>
      <c r="B399" s="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"/>
      <c r="B400" s="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"/>
      <c r="B401" s="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"/>
      <c r="B402" s="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"/>
      <c r="B403" s="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"/>
      <c r="B404" s="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"/>
      <c r="B405" s="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"/>
      <c r="B406" s="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"/>
      <c r="B407" s="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"/>
      <c r="B408" s="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"/>
      <c r="B409" s="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"/>
      <c r="B410" s="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"/>
      <c r="B411" s="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"/>
      <c r="B412" s="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"/>
      <c r="B413" s="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"/>
      <c r="B414" s="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"/>
      <c r="B415" s="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"/>
      <c r="B416" s="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"/>
      <c r="B417" s="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"/>
      <c r="B418" s="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"/>
      <c r="B419" s="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"/>
      <c r="B420" s="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"/>
      <c r="B421" s="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"/>
      <c r="B422" s="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"/>
      <c r="B423" s="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"/>
      <c r="B424" s="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"/>
      <c r="B425" s="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"/>
      <c r="B426" s="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"/>
      <c r="B427" s="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"/>
      <c r="B428" s="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"/>
      <c r="B429" s="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"/>
      <c r="B430" s="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"/>
      <c r="B431" s="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"/>
      <c r="B432" s="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"/>
      <c r="B433" s="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"/>
      <c r="B434" s="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"/>
      <c r="B435" s="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"/>
      <c r="B436" s="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"/>
      <c r="B437" s="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"/>
      <c r="B438" s="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"/>
      <c r="B439" s="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"/>
      <c r="B440" s="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"/>
      <c r="B441" s="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"/>
      <c r="B442" s="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"/>
      <c r="B443" s="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"/>
      <c r="B444" s="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"/>
      <c r="B445" s="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"/>
      <c r="B446" s="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"/>
      <c r="B447" s="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"/>
      <c r="B448" s="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"/>
      <c r="B449" s="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"/>
      <c r="B450" s="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"/>
      <c r="B451" s="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"/>
      <c r="B452" s="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"/>
      <c r="B453" s="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"/>
      <c r="B454" s="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"/>
      <c r="B455" s="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"/>
      <c r="B456" s="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"/>
      <c r="B457" s="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"/>
      <c r="B458" s="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"/>
      <c r="B459" s="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"/>
      <c r="B460" s="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"/>
      <c r="B461" s="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"/>
      <c r="B462" s="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"/>
      <c r="B463" s="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"/>
      <c r="B464" s="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"/>
      <c r="B465" s="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"/>
      <c r="B466" s="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"/>
      <c r="B467" s="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"/>
      <c r="B468" s="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"/>
      <c r="B469" s="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"/>
      <c r="B470" s="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"/>
      <c r="B471" s="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"/>
      <c r="B472" s="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"/>
      <c r="B473" s="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"/>
      <c r="B474" s="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"/>
      <c r="B475" s="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"/>
      <c r="B476" s="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"/>
      <c r="B477" s="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"/>
      <c r="B478" s="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"/>
      <c r="B479" s="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"/>
      <c r="B480" s="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"/>
      <c r="B481" s="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"/>
      <c r="B482" s="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"/>
      <c r="B483" s="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"/>
      <c r="B484" s="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"/>
      <c r="B485" s="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"/>
      <c r="B486" s="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"/>
      <c r="B487" s="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"/>
      <c r="B488" s="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"/>
      <c r="B489" s="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"/>
      <c r="B490" s="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"/>
      <c r="B491" s="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"/>
      <c r="B492" s="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"/>
      <c r="B493" s="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"/>
      <c r="B494" s="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"/>
      <c r="B495" s="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"/>
      <c r="B496" s="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"/>
      <c r="B497" s="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"/>
      <c r="B498" s="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"/>
      <c r="B499" s="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"/>
      <c r="B500" s="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"/>
      <c r="B501" s="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"/>
      <c r="B502" s="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"/>
      <c r="B503" s="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"/>
      <c r="B504" s="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"/>
      <c r="B505" s="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"/>
      <c r="B506" s="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"/>
      <c r="B507" s="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"/>
      <c r="B508" s="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"/>
      <c r="B509" s="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"/>
      <c r="B510" s="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"/>
      <c r="B511" s="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"/>
      <c r="B512" s="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"/>
      <c r="B513" s="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"/>
      <c r="B514" s="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"/>
      <c r="B515" s="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"/>
      <c r="B516" s="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"/>
      <c r="B517" s="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"/>
      <c r="B518" s="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"/>
      <c r="B519" s="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"/>
      <c r="B520" s="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"/>
      <c r="B521" s="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"/>
      <c r="B522" s="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"/>
      <c r="B523" s="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"/>
      <c r="B524" s="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"/>
      <c r="B525" s="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"/>
      <c r="B526" s="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"/>
      <c r="B527" s="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"/>
      <c r="B528" s="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"/>
      <c r="B529" s="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"/>
      <c r="B530" s="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"/>
      <c r="B531" s="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"/>
      <c r="B532" s="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"/>
      <c r="B533" s="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"/>
      <c r="B534" s="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"/>
      <c r="B535" s="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"/>
      <c r="B536" s="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"/>
      <c r="B537" s="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"/>
      <c r="B538" s="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"/>
      <c r="B539" s="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"/>
      <c r="B540" s="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"/>
      <c r="B541" s="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"/>
      <c r="B542" s="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"/>
      <c r="B543" s="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"/>
      <c r="B544" s="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"/>
      <c r="B545" s="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"/>
      <c r="B546" s="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"/>
      <c r="B547" s="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"/>
      <c r="B548" s="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"/>
      <c r="B549" s="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"/>
      <c r="B550" s="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"/>
      <c r="B551" s="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"/>
      <c r="B552" s="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"/>
      <c r="B553" s="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"/>
      <c r="B554" s="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"/>
      <c r="B555" s="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"/>
      <c r="B556" s="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"/>
      <c r="B557" s="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"/>
      <c r="B558" s="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"/>
      <c r="B559" s="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"/>
      <c r="B560" s="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"/>
      <c r="B561" s="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"/>
      <c r="B562" s="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"/>
      <c r="B563" s="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"/>
      <c r="B564" s="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"/>
      <c r="B565" s="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"/>
      <c r="B566" s="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"/>
      <c r="B567" s="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"/>
      <c r="B568" s="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"/>
      <c r="B569" s="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"/>
      <c r="B570" s="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"/>
      <c r="B571" s="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"/>
      <c r="B572" s="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"/>
      <c r="B573" s="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"/>
      <c r="B574" s="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"/>
      <c r="B575" s="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"/>
      <c r="B576" s="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"/>
      <c r="B577" s="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"/>
      <c r="B578" s="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"/>
      <c r="B579" s="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"/>
      <c r="B580" s="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"/>
      <c r="B581" s="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"/>
      <c r="B582" s="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"/>
      <c r="B583" s="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"/>
      <c r="B584" s="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"/>
      <c r="B585" s="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"/>
      <c r="B586" s="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"/>
      <c r="B587" s="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"/>
      <c r="B588" s="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"/>
      <c r="B589" s="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"/>
      <c r="B590" s="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"/>
      <c r="B591" s="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"/>
      <c r="B592" s="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"/>
      <c r="B593" s="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"/>
      <c r="B594" s="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"/>
      <c r="B595" s="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"/>
      <c r="B596" s="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"/>
      <c r="B597" s="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"/>
      <c r="B598" s="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"/>
      <c r="B599" s="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"/>
      <c r="B600" s="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"/>
      <c r="B601" s="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"/>
      <c r="B602" s="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"/>
      <c r="B603" s="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"/>
      <c r="B604" s="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"/>
      <c r="B605" s="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"/>
      <c r="B606" s="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"/>
      <c r="B607" s="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"/>
      <c r="B608" s="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"/>
      <c r="B609" s="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"/>
      <c r="B610" s="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"/>
      <c r="B611" s="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"/>
      <c r="B612" s="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"/>
      <c r="B613" s="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"/>
      <c r="B614" s="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"/>
      <c r="B615" s="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"/>
      <c r="B616" s="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"/>
      <c r="B617" s="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"/>
      <c r="B618" s="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"/>
      <c r="B619" s="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"/>
      <c r="B620" s="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"/>
      <c r="B621" s="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"/>
      <c r="B622" s="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"/>
      <c r="B623" s="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"/>
      <c r="B624" s="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"/>
      <c r="B625" s="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"/>
      <c r="B626" s="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"/>
      <c r="B627" s="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"/>
      <c r="B628" s="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"/>
      <c r="B629" s="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"/>
      <c r="B630" s="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"/>
      <c r="B631" s="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"/>
      <c r="B632" s="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"/>
      <c r="B633" s="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"/>
      <c r="B634" s="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"/>
      <c r="B635" s="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"/>
      <c r="B636" s="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"/>
      <c r="B637" s="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"/>
      <c r="B638" s="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"/>
      <c r="B639" s="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"/>
      <c r="B640" s="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"/>
      <c r="B641" s="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"/>
      <c r="B642" s="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"/>
      <c r="B643" s="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"/>
      <c r="B644" s="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"/>
      <c r="B645" s="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"/>
      <c r="B646" s="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"/>
      <c r="B647" s="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"/>
      <c r="B648" s="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"/>
      <c r="B649" s="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"/>
      <c r="B650" s="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"/>
      <c r="B651" s="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"/>
      <c r="B652" s="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"/>
      <c r="B653" s="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"/>
      <c r="B654" s="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"/>
      <c r="B655" s="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"/>
      <c r="B656" s="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"/>
      <c r="B657" s="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"/>
      <c r="B658" s="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"/>
      <c r="B659" s="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"/>
      <c r="B660" s="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"/>
      <c r="B661" s="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"/>
      <c r="B662" s="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"/>
      <c r="B663" s="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"/>
      <c r="B664" s="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"/>
      <c r="B665" s="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"/>
      <c r="B666" s="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"/>
      <c r="B667" s="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"/>
      <c r="B668" s="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"/>
      <c r="B669" s="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"/>
      <c r="B670" s="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"/>
      <c r="B671" s="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"/>
      <c r="B672" s="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"/>
      <c r="B673" s="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"/>
      <c r="B674" s="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"/>
      <c r="B675" s="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"/>
      <c r="B676" s="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"/>
      <c r="B677" s="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"/>
      <c r="B678" s="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"/>
      <c r="B679" s="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"/>
      <c r="B680" s="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"/>
      <c r="B681" s="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"/>
      <c r="B682" s="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"/>
      <c r="B683" s="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"/>
      <c r="B684" s="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"/>
      <c r="B685" s="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"/>
      <c r="B686" s="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"/>
      <c r="B687" s="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"/>
      <c r="B688" s="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"/>
      <c r="B689" s="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"/>
      <c r="B690" s="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"/>
      <c r="B691" s="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"/>
      <c r="B692" s="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"/>
      <c r="B693" s="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"/>
      <c r="B694" s="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"/>
      <c r="B695" s="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"/>
      <c r="B696" s="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"/>
      <c r="B697" s="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"/>
      <c r="B698" s="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"/>
      <c r="B699" s="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"/>
      <c r="B700" s="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"/>
      <c r="B701" s="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"/>
      <c r="B702" s="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"/>
      <c r="B703" s="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"/>
      <c r="B704" s="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"/>
      <c r="B705" s="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"/>
      <c r="B706" s="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"/>
      <c r="B707" s="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"/>
      <c r="B708" s="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"/>
      <c r="B709" s="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"/>
      <c r="B710" s="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"/>
      <c r="B711" s="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"/>
      <c r="B712" s="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"/>
      <c r="B713" s="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"/>
      <c r="B714" s="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"/>
      <c r="B715" s="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"/>
      <c r="B716" s="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"/>
      <c r="B717" s="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"/>
      <c r="B718" s="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"/>
      <c r="B719" s="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"/>
      <c r="B720" s="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"/>
      <c r="B721" s="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"/>
      <c r="B722" s="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"/>
      <c r="B723" s="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"/>
      <c r="B724" s="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"/>
      <c r="B725" s="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"/>
      <c r="B726" s="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"/>
      <c r="B727" s="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"/>
      <c r="B728" s="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"/>
      <c r="B729" s="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"/>
      <c r="B730" s="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"/>
      <c r="B731" s="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"/>
      <c r="B732" s="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"/>
      <c r="B733" s="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"/>
      <c r="B734" s="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"/>
      <c r="B735" s="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"/>
      <c r="B736" s="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"/>
      <c r="B737" s="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"/>
      <c r="B738" s="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"/>
      <c r="B739" s="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"/>
      <c r="B740" s="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"/>
      <c r="B741" s="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"/>
      <c r="B742" s="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"/>
      <c r="B743" s="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"/>
      <c r="B744" s="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"/>
      <c r="B745" s="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"/>
      <c r="B746" s="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"/>
      <c r="B747" s="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"/>
      <c r="B748" s="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"/>
      <c r="B749" s="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"/>
      <c r="B750" s="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"/>
      <c r="B751" s="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"/>
      <c r="B752" s="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"/>
      <c r="B753" s="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"/>
      <c r="B754" s="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"/>
      <c r="B755" s="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"/>
      <c r="B756" s="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"/>
      <c r="B757" s="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"/>
      <c r="B758" s="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"/>
      <c r="B759" s="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"/>
      <c r="B760" s="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"/>
      <c r="B761" s="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"/>
      <c r="B762" s="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"/>
      <c r="B763" s="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"/>
      <c r="B764" s="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"/>
      <c r="B765" s="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"/>
      <c r="B766" s="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"/>
      <c r="B767" s="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"/>
      <c r="B768" s="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"/>
      <c r="B769" s="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"/>
      <c r="B770" s="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"/>
      <c r="B771" s="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"/>
      <c r="B772" s="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"/>
      <c r="B773" s="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"/>
      <c r="B774" s="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"/>
      <c r="B775" s="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"/>
      <c r="B776" s="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"/>
      <c r="B777" s="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"/>
      <c r="B778" s="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"/>
      <c r="B779" s="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"/>
      <c r="B780" s="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"/>
      <c r="B781" s="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"/>
      <c r="B782" s="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"/>
      <c r="B783" s="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"/>
      <c r="B784" s="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"/>
      <c r="B785" s="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"/>
      <c r="B786" s="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"/>
      <c r="B787" s="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"/>
      <c r="B788" s="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"/>
      <c r="B789" s="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"/>
      <c r="B790" s="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"/>
      <c r="B791" s="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"/>
      <c r="B792" s="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"/>
      <c r="B793" s="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"/>
      <c r="B794" s="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"/>
      <c r="B795" s="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"/>
      <c r="B796" s="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"/>
      <c r="B797" s="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"/>
      <c r="B798" s="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"/>
      <c r="B799" s="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"/>
      <c r="B800" s="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"/>
      <c r="B801" s="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"/>
      <c r="B802" s="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"/>
      <c r="B803" s="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"/>
      <c r="B804" s="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"/>
      <c r="B805" s="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"/>
      <c r="B806" s="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"/>
      <c r="B807" s="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"/>
      <c r="B808" s="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"/>
      <c r="B809" s="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"/>
      <c r="B810" s="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"/>
      <c r="B811" s="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"/>
      <c r="B812" s="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"/>
      <c r="B813" s="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"/>
      <c r="B814" s="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"/>
      <c r="B815" s="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"/>
      <c r="B816" s="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"/>
      <c r="B817" s="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"/>
      <c r="B818" s="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"/>
      <c r="B819" s="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"/>
      <c r="B820" s="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"/>
      <c r="B821" s="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"/>
      <c r="B822" s="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"/>
      <c r="B823" s="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"/>
      <c r="B824" s="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"/>
      <c r="B825" s="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"/>
      <c r="B826" s="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"/>
      <c r="B827" s="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"/>
      <c r="B828" s="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"/>
      <c r="B829" s="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"/>
      <c r="B830" s="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"/>
      <c r="B831" s="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"/>
      <c r="B832" s="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"/>
      <c r="B833" s="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"/>
      <c r="B834" s="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"/>
      <c r="B835" s="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"/>
      <c r="B836" s="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"/>
      <c r="B837" s="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"/>
      <c r="B838" s="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"/>
      <c r="B839" s="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"/>
      <c r="B840" s="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"/>
      <c r="B841" s="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"/>
      <c r="B842" s="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"/>
      <c r="B843" s="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"/>
      <c r="B844" s="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"/>
      <c r="B845" s="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"/>
      <c r="B846" s="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"/>
      <c r="B847" s="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"/>
      <c r="B848" s="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"/>
      <c r="B849" s="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"/>
      <c r="B850" s="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"/>
      <c r="B851" s="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"/>
      <c r="B852" s="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"/>
      <c r="B853" s="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"/>
      <c r="B854" s="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"/>
      <c r="B855" s="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"/>
      <c r="B856" s="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"/>
      <c r="B857" s="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"/>
      <c r="B858" s="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"/>
      <c r="B859" s="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"/>
      <c r="B860" s="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"/>
      <c r="B861" s="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"/>
      <c r="B862" s="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"/>
      <c r="B863" s="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"/>
      <c r="B864" s="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"/>
      <c r="B865" s="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"/>
      <c r="B866" s="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"/>
      <c r="B867" s="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"/>
      <c r="B868" s="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"/>
      <c r="B869" s="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"/>
      <c r="B870" s="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"/>
      <c r="B871" s="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"/>
      <c r="B872" s="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"/>
      <c r="B873" s="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"/>
      <c r="B874" s="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"/>
      <c r="B875" s="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"/>
      <c r="B876" s="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"/>
      <c r="B877" s="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"/>
      <c r="B878" s="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"/>
      <c r="B879" s="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"/>
      <c r="B880" s="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"/>
      <c r="B881" s="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"/>
      <c r="B882" s="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"/>
      <c r="B883" s="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"/>
      <c r="B884" s="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"/>
      <c r="B885" s="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"/>
      <c r="B886" s="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"/>
      <c r="B887" s="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"/>
      <c r="B888" s="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"/>
      <c r="B889" s="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"/>
      <c r="B890" s="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"/>
      <c r="B891" s="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"/>
      <c r="B892" s="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"/>
      <c r="B893" s="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"/>
      <c r="B894" s="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"/>
      <c r="B895" s="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"/>
      <c r="B896" s="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"/>
      <c r="B897" s="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"/>
      <c r="B898" s="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"/>
      <c r="B899" s="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"/>
      <c r="B900" s="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"/>
      <c r="B901" s="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"/>
      <c r="B902" s="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"/>
      <c r="B903" s="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"/>
      <c r="B904" s="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"/>
      <c r="B905" s="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"/>
      <c r="B906" s="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"/>
      <c r="B907" s="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"/>
      <c r="B908" s="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"/>
      <c r="B909" s="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"/>
      <c r="B910" s="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"/>
      <c r="B911" s="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"/>
      <c r="B912" s="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"/>
      <c r="B913" s="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"/>
      <c r="B914" s="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"/>
      <c r="B915" s="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"/>
      <c r="B916" s="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"/>
      <c r="B917" s="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"/>
      <c r="B918" s="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"/>
      <c r="B919" s="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"/>
      <c r="B920" s="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"/>
      <c r="B921" s="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"/>
      <c r="B922" s="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"/>
      <c r="B923" s="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"/>
      <c r="B924" s="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"/>
      <c r="B925" s="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"/>
      <c r="B926" s="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"/>
      <c r="B927" s="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"/>
      <c r="B928" s="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"/>
      <c r="B929" s="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"/>
      <c r="B930" s="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"/>
      <c r="B931" s="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"/>
      <c r="B932" s="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"/>
      <c r="B933" s="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"/>
      <c r="B934" s="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"/>
      <c r="B935" s="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"/>
      <c r="B936" s="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"/>
      <c r="B937" s="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"/>
      <c r="B938" s="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"/>
      <c r="B939" s="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"/>
      <c r="B940" s="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"/>
      <c r="B941" s="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"/>
      <c r="B942" s="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"/>
      <c r="B943" s="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"/>
      <c r="B944" s="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"/>
      <c r="B945" s="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"/>
      <c r="B946" s="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"/>
      <c r="B947" s="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"/>
      <c r="B948" s="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"/>
      <c r="B949" s="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"/>
      <c r="B950" s="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"/>
      <c r="B951" s="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"/>
      <c r="B952" s="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"/>
      <c r="B953" s="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"/>
      <c r="B954" s="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"/>
      <c r="B955" s="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"/>
      <c r="B956" s="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"/>
      <c r="B957" s="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"/>
      <c r="B958" s="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"/>
      <c r="B959" s="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"/>
      <c r="B960" s="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"/>
      <c r="B961" s="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"/>
      <c r="B962" s="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"/>
      <c r="B963" s="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"/>
      <c r="B964" s="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"/>
      <c r="B965" s="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"/>
      <c r="B966" s="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"/>
      <c r="B967" s="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"/>
      <c r="B968" s="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"/>
      <c r="B969" s="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"/>
      <c r="B970" s="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"/>
      <c r="B971" s="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"/>
      <c r="B972" s="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"/>
      <c r="B973" s="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"/>
      <c r="B974" s="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"/>
      <c r="B975" s="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"/>
      <c r="B976" s="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"/>
      <c r="B977" s="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"/>
      <c r="B978" s="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"/>
      <c r="B979" s="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"/>
      <c r="B980" s="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"/>
      <c r="B981" s="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"/>
      <c r="B982" s="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"/>
      <c r="B983" s="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"/>
      <c r="B984" s="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"/>
      <c r="B985" s="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"/>
      <c r="B986" s="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"/>
      <c r="B987" s="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"/>
      <c r="B988" s="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"/>
      <c r="B989" s="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"/>
      <c r="B990" s="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"/>
      <c r="B991" s="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"/>
      <c r="B992" s="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"/>
      <c r="B993" s="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"/>
      <c r="B994" s="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"/>
      <c r="B995" s="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"/>
      <c r="B996" s="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"/>
      <c r="B997" s="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"/>
      <c r="B998" s="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"/>
      <c r="B999" s="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"/>
      <c r="B1000" s="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6.0"/>
    <col customWidth="1" min="3" max="3" width="40.57"/>
    <col customWidth="1" min="4" max="4" width="7.71"/>
    <col customWidth="1" min="5" max="5" width="40.0"/>
    <col customWidth="1" min="6" max="6" width="10.86"/>
    <col customWidth="1" min="7" max="7" width="35.86"/>
    <col customWidth="1" min="8" max="26" width="8.86"/>
  </cols>
  <sheetData>
    <row r="1">
      <c r="A1" s="27" t="s">
        <v>50</v>
      </c>
      <c r="B1" s="27" t="s">
        <v>51</v>
      </c>
      <c r="C1" s="27" t="s">
        <v>52</v>
      </c>
      <c r="D1" s="27" t="s">
        <v>53</v>
      </c>
      <c r="E1" s="28"/>
      <c r="F1" s="29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>
        <v>2312562.0</v>
      </c>
      <c r="B2" s="33" t="s">
        <v>54</v>
      </c>
      <c r="C2" s="33" t="s">
        <v>55</v>
      </c>
      <c r="D2" s="32">
        <v>1.0</v>
      </c>
      <c r="E2" s="34"/>
      <c r="F2" s="35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>
        <v>2312365.0</v>
      </c>
      <c r="B3" s="33" t="s">
        <v>56</v>
      </c>
      <c r="C3" s="33" t="s">
        <v>57</v>
      </c>
      <c r="E3" s="34"/>
      <c r="F3" s="35"/>
      <c r="G3" s="30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>
        <v>2312285.0</v>
      </c>
      <c r="B4" s="33" t="s">
        <v>58</v>
      </c>
      <c r="C4" s="33" t="s">
        <v>59</v>
      </c>
      <c r="E4" s="34"/>
      <c r="F4" s="35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>
        <v>2312791.0</v>
      </c>
      <c r="B5" s="33" t="s">
        <v>60</v>
      </c>
      <c r="C5" s="33"/>
      <c r="E5" s="34"/>
      <c r="F5" s="35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>
        <v>2312749.0</v>
      </c>
      <c r="B6" s="33" t="s">
        <v>61</v>
      </c>
      <c r="C6" s="33"/>
      <c r="E6" s="34"/>
      <c r="F6" s="35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6">
        <v>2312097.0</v>
      </c>
      <c r="B7" s="37" t="s">
        <v>62</v>
      </c>
      <c r="C7" s="37" t="s">
        <v>63</v>
      </c>
      <c r="D7" s="38">
        <v>2.0</v>
      </c>
      <c r="E7" s="34"/>
      <c r="F7" s="35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6">
        <v>2314019.0</v>
      </c>
      <c r="B8" s="37" t="s">
        <v>64</v>
      </c>
      <c r="C8" s="37" t="s">
        <v>65</v>
      </c>
      <c r="E8" s="34"/>
      <c r="F8" s="35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6">
        <v>2311051.0</v>
      </c>
      <c r="B9" s="37" t="s">
        <v>66</v>
      </c>
      <c r="C9" s="37" t="s">
        <v>67</v>
      </c>
      <c r="E9" s="34"/>
      <c r="F9" s="35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6">
        <v>2313834.0</v>
      </c>
      <c r="B10" s="37" t="s">
        <v>68</v>
      </c>
      <c r="C10" s="37" t="s">
        <v>69</v>
      </c>
      <c r="E10" s="34"/>
      <c r="F10" s="35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6">
        <v>2310854.0</v>
      </c>
      <c r="B11" s="37" t="s">
        <v>70</v>
      </c>
      <c r="C11" s="37" t="s">
        <v>71</v>
      </c>
      <c r="E11" s="34"/>
      <c r="F11" s="35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9">
        <v>2312776.0</v>
      </c>
      <c r="B12" s="40" t="s">
        <v>72</v>
      </c>
      <c r="C12" s="40" t="s">
        <v>73</v>
      </c>
      <c r="D12" s="41">
        <v>3.0</v>
      </c>
      <c r="E12" s="34"/>
      <c r="F12" s="35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9">
        <v>2313749.0</v>
      </c>
      <c r="B13" s="40" t="s">
        <v>74</v>
      </c>
      <c r="C13" s="40" t="s">
        <v>75</v>
      </c>
      <c r="E13" s="34"/>
      <c r="F13" s="35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9">
        <v>2313771.0</v>
      </c>
      <c r="B14" s="40" t="s">
        <v>76</v>
      </c>
      <c r="C14" s="40" t="s">
        <v>77</v>
      </c>
      <c r="E14" s="34"/>
      <c r="F14" s="35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9">
        <v>2213057.0</v>
      </c>
      <c r="B15" s="40" t="s">
        <v>78</v>
      </c>
      <c r="C15" s="40" t="s">
        <v>79</v>
      </c>
      <c r="E15" s="34"/>
      <c r="F15" s="35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9">
        <v>2210590.0</v>
      </c>
      <c r="B16" s="40" t="s">
        <v>80</v>
      </c>
      <c r="C16" s="40" t="s">
        <v>81</v>
      </c>
      <c r="E16" s="34"/>
      <c r="F16" s="35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9">
        <v>2212757.0</v>
      </c>
      <c r="B17" s="40" t="s">
        <v>82</v>
      </c>
      <c r="C17" s="40" t="s">
        <v>83</v>
      </c>
      <c r="E17" s="34"/>
      <c r="F17" s="35"/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>
        <v>2210576.0</v>
      </c>
      <c r="B18" s="33" t="s">
        <v>84</v>
      </c>
      <c r="C18" s="33" t="s">
        <v>85</v>
      </c>
      <c r="D18" s="42">
        <v>4.0</v>
      </c>
      <c r="E18" s="34"/>
      <c r="F18" s="35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>
        <v>2311514.0</v>
      </c>
      <c r="B19" s="33" t="s">
        <v>86</v>
      </c>
      <c r="C19" s="33" t="s">
        <v>87</v>
      </c>
      <c r="E19" s="34"/>
      <c r="F19" s="35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>
        <v>2313962.0</v>
      </c>
      <c r="B20" s="33" t="s">
        <v>88</v>
      </c>
      <c r="C20" s="33" t="s">
        <v>89</v>
      </c>
      <c r="E20" s="34"/>
      <c r="F20" s="35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>
        <v>2210510.0</v>
      </c>
      <c r="B21" s="33" t="s">
        <v>90</v>
      </c>
      <c r="C21" s="33" t="s">
        <v>91</v>
      </c>
      <c r="E21" s="34"/>
      <c r="F21" s="35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>
        <v>2310393.0</v>
      </c>
      <c r="B22" s="33" t="s">
        <v>92</v>
      </c>
      <c r="C22" s="33" t="s">
        <v>93</v>
      </c>
      <c r="E22" s="34"/>
      <c r="F22" s="35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>
        <v>2313966.0</v>
      </c>
      <c r="B23" s="33" t="s">
        <v>94</v>
      </c>
      <c r="C23" s="33" t="s">
        <v>95</v>
      </c>
      <c r="E23" s="43"/>
      <c r="F23" s="44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45">
        <v>2311849.0</v>
      </c>
      <c r="B24" s="46" t="s">
        <v>96</v>
      </c>
      <c r="C24" s="46" t="s">
        <v>97</v>
      </c>
      <c r="D24" s="47">
        <v>5.0</v>
      </c>
      <c r="E24" s="34"/>
      <c r="F24" s="35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45">
        <v>2210400.0</v>
      </c>
      <c r="B25" s="46" t="s">
        <v>98</v>
      </c>
      <c r="C25" s="46" t="s">
        <v>99</v>
      </c>
      <c r="E25" s="34"/>
      <c r="F25" s="35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45">
        <v>2213059.0</v>
      </c>
      <c r="B26" s="46" t="s">
        <v>100</v>
      </c>
      <c r="C26" s="46" t="s">
        <v>101</v>
      </c>
      <c r="E26" s="48"/>
      <c r="F26" s="49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45">
        <v>1952924.0</v>
      </c>
      <c r="B27" s="46" t="s">
        <v>102</v>
      </c>
      <c r="C27" s="46" t="s">
        <v>103</v>
      </c>
      <c r="E27" s="48"/>
      <c r="F27" s="49"/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45">
        <v>2310735.0</v>
      </c>
      <c r="B28" s="46" t="s">
        <v>104</v>
      </c>
      <c r="C28" s="46" t="s">
        <v>105</v>
      </c>
      <c r="E28" s="48"/>
      <c r="F28" s="49"/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45">
        <v>2313907.0</v>
      </c>
      <c r="B29" s="46" t="s">
        <v>106</v>
      </c>
      <c r="C29" s="46" t="s">
        <v>107</v>
      </c>
      <c r="E29" s="48"/>
      <c r="F29" s="5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51">
        <v>2310707.0</v>
      </c>
      <c r="B30" s="52" t="s">
        <v>108</v>
      </c>
      <c r="C30" s="52" t="s">
        <v>109</v>
      </c>
      <c r="D30" s="53">
        <v>6.0</v>
      </c>
      <c r="E30" s="48"/>
      <c r="F30" s="49"/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51">
        <v>2310559.0</v>
      </c>
      <c r="B31" s="52" t="s">
        <v>110</v>
      </c>
      <c r="C31" s="52" t="s">
        <v>111</v>
      </c>
      <c r="E31" s="48"/>
      <c r="F31" s="49"/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51">
        <v>2310730.0</v>
      </c>
      <c r="B32" s="52" t="s">
        <v>112</v>
      </c>
      <c r="C32" s="52" t="s">
        <v>113</v>
      </c>
      <c r="E32" s="48"/>
      <c r="F32" s="49"/>
      <c r="G32" s="30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51">
        <v>2310856.0</v>
      </c>
      <c r="B33" s="52" t="s">
        <v>114</v>
      </c>
      <c r="C33" s="52" t="s">
        <v>115</v>
      </c>
      <c r="E33" s="48"/>
      <c r="F33" s="49"/>
      <c r="G33" s="30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51">
        <v>2310979.0</v>
      </c>
      <c r="B34" s="52" t="s">
        <v>116</v>
      </c>
      <c r="C34" s="52" t="s">
        <v>117</v>
      </c>
      <c r="E34" s="48"/>
      <c r="F34" s="49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51">
        <v>2310615.0</v>
      </c>
      <c r="B35" s="52" t="s">
        <v>118</v>
      </c>
      <c r="C35" s="52" t="s">
        <v>119</v>
      </c>
      <c r="E35" s="48"/>
      <c r="F35" s="49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6">
        <v>2311896.0</v>
      </c>
      <c r="B36" s="37" t="s">
        <v>120</v>
      </c>
      <c r="C36" s="37" t="s">
        <v>121</v>
      </c>
      <c r="D36" s="38">
        <v>7.0</v>
      </c>
      <c r="E36" s="48"/>
      <c r="F36" s="49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6">
        <v>2311982.0</v>
      </c>
      <c r="B37" s="37" t="s">
        <v>122</v>
      </c>
      <c r="C37" s="37" t="s">
        <v>123</v>
      </c>
      <c r="E37" s="48"/>
      <c r="F37" s="49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6">
        <v>2310990.0</v>
      </c>
      <c r="B38" s="37" t="s">
        <v>124</v>
      </c>
      <c r="C38" s="37" t="s">
        <v>125</v>
      </c>
      <c r="E38" s="48"/>
      <c r="F38" s="49"/>
      <c r="G38" s="3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6">
        <v>2213698.0</v>
      </c>
      <c r="B39" s="37" t="s">
        <v>126</v>
      </c>
      <c r="C39" s="37" t="s">
        <v>127</v>
      </c>
      <c r="E39" s="54"/>
      <c r="F39" s="49"/>
      <c r="G39" s="3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6">
        <v>2211384.0</v>
      </c>
      <c r="B40" s="37" t="s">
        <v>128</v>
      </c>
      <c r="C40" s="37" t="s">
        <v>129</v>
      </c>
      <c r="E40" s="48"/>
      <c r="F40" s="49"/>
      <c r="G40" s="30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6">
        <v>2310737.0</v>
      </c>
      <c r="B41" s="37" t="s">
        <v>130</v>
      </c>
      <c r="C41" s="37" t="s">
        <v>131</v>
      </c>
      <c r="E41" s="48"/>
      <c r="F41" s="49"/>
      <c r="G41" s="3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55">
        <v>2311892.0</v>
      </c>
      <c r="B42" s="56" t="s">
        <v>132</v>
      </c>
      <c r="C42" s="57" t="s">
        <v>133</v>
      </c>
      <c r="D42" s="58">
        <v>8.0</v>
      </c>
      <c r="E42" s="48"/>
      <c r="F42" s="49"/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55">
        <v>2211549.0</v>
      </c>
      <c r="B43" s="56" t="s">
        <v>134</v>
      </c>
      <c r="C43" s="56" t="s">
        <v>135</v>
      </c>
      <c r="E43" s="48"/>
      <c r="F43" s="49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55">
        <v>2311449.0</v>
      </c>
      <c r="B44" s="56" t="s">
        <v>136</v>
      </c>
      <c r="C44" s="56" t="s">
        <v>137</v>
      </c>
      <c r="E44" s="48"/>
      <c r="F44" s="49"/>
      <c r="G44" s="59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55">
        <v>2310836.0</v>
      </c>
      <c r="B45" s="56" t="s">
        <v>138</v>
      </c>
      <c r="C45" s="56" t="s">
        <v>139</v>
      </c>
      <c r="E45" s="48"/>
      <c r="F45" s="50"/>
      <c r="G45" s="3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55">
        <v>2113499.0</v>
      </c>
      <c r="B46" s="56" t="s">
        <v>140</v>
      </c>
      <c r="C46" s="61" t="s">
        <v>141</v>
      </c>
      <c r="E46" s="48"/>
      <c r="F46" s="49"/>
      <c r="G46" s="3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55">
        <v>2313914.0</v>
      </c>
      <c r="B47" s="56" t="s">
        <v>142</v>
      </c>
      <c r="C47" s="56" t="s">
        <v>143</v>
      </c>
      <c r="E47" s="48"/>
      <c r="F47" s="49"/>
      <c r="G47" s="3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55">
        <v>2311186.0</v>
      </c>
      <c r="B48" s="56" t="s">
        <v>144</v>
      </c>
      <c r="C48" s="56" t="s">
        <v>145</v>
      </c>
      <c r="E48" s="48"/>
      <c r="F48" s="49"/>
      <c r="G48" s="30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62">
        <v>2312105.0</v>
      </c>
      <c r="B49" s="63" t="s">
        <v>146</v>
      </c>
      <c r="C49" s="63" t="s">
        <v>147</v>
      </c>
      <c r="D49" s="64">
        <v>9.0</v>
      </c>
      <c r="E49" s="48"/>
      <c r="F49" s="49"/>
      <c r="G49" s="30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62">
        <v>2311289.0</v>
      </c>
      <c r="B50" s="63" t="s">
        <v>148</v>
      </c>
      <c r="C50" s="63" t="s">
        <v>149</v>
      </c>
      <c r="E50" s="48"/>
      <c r="F50" s="49"/>
      <c r="G50" s="3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62">
        <v>2314047.0</v>
      </c>
      <c r="B51" s="63" t="s">
        <v>150</v>
      </c>
      <c r="C51" s="65" t="s">
        <v>151</v>
      </c>
      <c r="E51" s="48"/>
      <c r="F51" s="49"/>
      <c r="G51" s="30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62">
        <v>2312059.0</v>
      </c>
      <c r="B52" s="63" t="s">
        <v>152</v>
      </c>
      <c r="C52" s="65" t="s">
        <v>153</v>
      </c>
      <c r="E52" s="48"/>
      <c r="F52" s="49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62">
        <v>2211850.0</v>
      </c>
      <c r="B53" s="63" t="s">
        <v>154</v>
      </c>
      <c r="C53" s="63" t="s">
        <v>155</v>
      </c>
      <c r="E53" s="48"/>
      <c r="F53" s="49"/>
      <c r="G53" s="30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62">
        <v>2210986.0</v>
      </c>
      <c r="B54" s="63" t="s">
        <v>156</v>
      </c>
      <c r="C54" s="63" t="s">
        <v>157</v>
      </c>
      <c r="E54" s="48"/>
      <c r="F54" s="49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>
        <v>2252542.0</v>
      </c>
      <c r="B55" s="33" t="s">
        <v>158</v>
      </c>
      <c r="C55" s="33" t="s">
        <v>159</v>
      </c>
      <c r="D55" s="66">
        <v>10.0</v>
      </c>
      <c r="E55" s="48"/>
      <c r="F55" s="49"/>
      <c r="G55" s="30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>
        <v>2252822.0</v>
      </c>
      <c r="B56" s="33" t="s">
        <v>160</v>
      </c>
      <c r="C56" s="33" t="s">
        <v>161</v>
      </c>
      <c r="E56" s="48"/>
      <c r="F56" s="49"/>
      <c r="G56" s="3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>
        <v>2213609.0</v>
      </c>
      <c r="B57" s="33" t="s">
        <v>162</v>
      </c>
      <c r="C57" s="33" t="s">
        <v>163</v>
      </c>
      <c r="E57" s="48"/>
      <c r="F57" s="49"/>
      <c r="G57" s="3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>
        <v>2311795.0</v>
      </c>
      <c r="B58" s="33" t="s">
        <v>164</v>
      </c>
      <c r="C58" s="33" t="s">
        <v>165</v>
      </c>
      <c r="E58" s="48"/>
      <c r="F58" s="49"/>
      <c r="G58" s="3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>
        <v>2211806.0</v>
      </c>
      <c r="B59" s="33" t="s">
        <v>166</v>
      </c>
      <c r="C59" s="33" t="s">
        <v>167</v>
      </c>
      <c r="E59" s="48"/>
      <c r="F59" s="49"/>
      <c r="G59" s="30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>
        <v>2210105.0</v>
      </c>
      <c r="B60" s="33" t="s">
        <v>168</v>
      </c>
      <c r="C60" s="33" t="s">
        <v>169</v>
      </c>
      <c r="E60" s="48"/>
      <c r="F60" s="49"/>
      <c r="G60" s="30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>
        <v>2213671.0</v>
      </c>
      <c r="B61" s="33" t="s">
        <v>170</v>
      </c>
      <c r="C61" s="33" t="s">
        <v>171</v>
      </c>
      <c r="E61" s="48"/>
      <c r="F61" s="49"/>
      <c r="G61" s="30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67">
        <v>2210430.0</v>
      </c>
      <c r="B62" s="68" t="s">
        <v>172</v>
      </c>
      <c r="C62" s="68" t="s">
        <v>173</v>
      </c>
      <c r="D62" s="67">
        <v>11.0</v>
      </c>
      <c r="E62" s="48"/>
      <c r="F62" s="49"/>
      <c r="G62" s="30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67">
        <v>2313097.0</v>
      </c>
      <c r="B63" s="68" t="s">
        <v>174</v>
      </c>
      <c r="C63" s="68" t="s">
        <v>175</v>
      </c>
      <c r="E63" s="48"/>
      <c r="F63" s="49"/>
      <c r="G63" s="30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67">
        <v>2212303.0</v>
      </c>
      <c r="B64" s="68" t="s">
        <v>176</v>
      </c>
      <c r="C64" s="68" t="s">
        <v>177</v>
      </c>
      <c r="E64" s="48"/>
      <c r="F64" s="49"/>
      <c r="G64" s="30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67">
        <v>2211430.0</v>
      </c>
      <c r="B65" s="68" t="s">
        <v>178</v>
      </c>
      <c r="C65" s="68" t="s">
        <v>179</v>
      </c>
      <c r="E65" s="48"/>
      <c r="F65" s="49"/>
      <c r="G65" s="30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67">
        <v>2211350.0</v>
      </c>
      <c r="B66" s="68" t="s">
        <v>180</v>
      </c>
      <c r="C66" s="68" t="s">
        <v>181</v>
      </c>
      <c r="E66" s="48"/>
      <c r="F66" s="49"/>
      <c r="G66" s="30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67">
        <v>2211325.0</v>
      </c>
      <c r="B67" s="68" t="s">
        <v>182</v>
      </c>
      <c r="C67" s="68" t="s">
        <v>183</v>
      </c>
      <c r="E67" s="48"/>
      <c r="F67" s="49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67">
        <v>2313109.0</v>
      </c>
      <c r="B68" s="68" t="s">
        <v>184</v>
      </c>
      <c r="C68" s="68" t="s">
        <v>185</v>
      </c>
      <c r="E68" s="69"/>
      <c r="F68" s="50"/>
      <c r="G68" s="30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70"/>
      <c r="B69" s="71"/>
      <c r="C69" s="71"/>
      <c r="D69" s="70"/>
      <c r="E69" s="48"/>
      <c r="F69" s="49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E70" s="48"/>
      <c r="F70" s="49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E71" s="48"/>
      <c r="F71" s="49"/>
      <c r="G71" s="3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E72" s="48"/>
      <c r="F72" s="49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E73" s="48"/>
      <c r="F73" s="49"/>
      <c r="G73" s="30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E74" s="48"/>
      <c r="F74" s="49"/>
      <c r="G74" s="30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E75" s="48"/>
      <c r="F75" s="49"/>
      <c r="G75" s="30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E76" s="48"/>
      <c r="F76" s="49"/>
      <c r="G76" s="30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E77" s="48"/>
      <c r="F77" s="49"/>
      <c r="G77" s="3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E78" s="48"/>
      <c r="F78" s="49"/>
      <c r="G78" s="30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E79" s="48"/>
      <c r="F79" s="49"/>
      <c r="G79" s="3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E80" s="48"/>
      <c r="F80" s="49"/>
      <c r="G80" s="30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E81" s="48"/>
      <c r="F81" s="49"/>
      <c r="G81" s="30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E82" s="48"/>
      <c r="F82" s="49"/>
      <c r="G82" s="30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E83" s="48"/>
      <c r="F83" s="49"/>
      <c r="G83" s="30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E84" s="48"/>
      <c r="F84" s="49"/>
      <c r="G84" s="3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E85" s="48"/>
      <c r="F85" s="49"/>
      <c r="G85" s="30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E86" s="48"/>
      <c r="F86" s="49"/>
      <c r="G86" s="30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E87" s="48"/>
      <c r="F87" s="49"/>
      <c r="G87" s="30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49"/>
      <c r="B88" s="48"/>
      <c r="C88" s="48"/>
      <c r="D88" s="48"/>
      <c r="E88" s="48"/>
      <c r="F88" s="49"/>
      <c r="G88" s="30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49"/>
      <c r="B89" s="48"/>
      <c r="C89" s="48"/>
      <c r="D89" s="48"/>
      <c r="E89" s="48"/>
      <c r="F89" s="49"/>
      <c r="G89" s="30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49"/>
      <c r="B90" s="48"/>
      <c r="C90" s="48"/>
      <c r="D90" s="48"/>
      <c r="E90" s="48"/>
      <c r="F90" s="49"/>
      <c r="G90" s="30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49"/>
      <c r="B91" s="48"/>
      <c r="C91" s="48"/>
      <c r="D91" s="48"/>
      <c r="E91" s="48"/>
      <c r="F91" s="49"/>
      <c r="G91" s="30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49"/>
      <c r="B92" s="48"/>
      <c r="C92" s="48"/>
      <c r="D92" s="48"/>
      <c r="E92" s="48"/>
      <c r="F92" s="49"/>
      <c r="G92" s="30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49"/>
      <c r="B93" s="48"/>
      <c r="C93" s="48"/>
      <c r="D93" s="48"/>
      <c r="E93" s="48"/>
      <c r="F93" s="49"/>
      <c r="G93" s="30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49"/>
      <c r="B94" s="48"/>
      <c r="C94" s="48"/>
      <c r="D94" s="48"/>
      <c r="E94" s="48"/>
      <c r="F94" s="49"/>
      <c r="G94" s="30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49"/>
      <c r="B95" s="48"/>
      <c r="C95" s="48"/>
      <c r="D95" s="48"/>
      <c r="E95" s="48"/>
      <c r="F95" s="49"/>
      <c r="G95" s="30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49"/>
      <c r="B96" s="48"/>
      <c r="C96" s="48"/>
      <c r="D96" s="48"/>
      <c r="E96" s="48"/>
      <c r="F96" s="49"/>
      <c r="G96" s="30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49"/>
      <c r="B97" s="48"/>
      <c r="C97" s="48"/>
      <c r="D97" s="48"/>
      <c r="E97" s="48"/>
      <c r="F97" s="49"/>
      <c r="G97" s="3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49"/>
      <c r="B98" s="48"/>
      <c r="C98" s="48"/>
      <c r="D98" s="48"/>
      <c r="E98" s="48"/>
      <c r="F98" s="49"/>
      <c r="G98" s="3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49"/>
      <c r="B99" s="72"/>
      <c r="C99" s="48"/>
      <c r="D99" s="48"/>
      <c r="E99" s="48"/>
      <c r="F99" s="49"/>
      <c r="G99" s="3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49"/>
      <c r="B100" s="72"/>
      <c r="C100" s="48"/>
      <c r="D100" s="48"/>
      <c r="E100" s="48"/>
      <c r="F100" s="49"/>
      <c r="G100" s="3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49"/>
      <c r="B101" s="72"/>
      <c r="C101" s="48"/>
      <c r="D101" s="48"/>
      <c r="E101" s="48"/>
      <c r="F101" s="49"/>
      <c r="G101" s="3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49"/>
      <c r="B102" s="48"/>
      <c r="C102" s="48"/>
      <c r="D102" s="48"/>
      <c r="E102" s="48"/>
      <c r="F102" s="49"/>
      <c r="G102" s="3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49"/>
      <c r="B103" s="48"/>
      <c r="C103" s="48"/>
      <c r="D103" s="48"/>
      <c r="E103" s="48"/>
      <c r="F103" s="49"/>
      <c r="G103" s="3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49"/>
      <c r="B104" s="48"/>
      <c r="C104" s="48"/>
      <c r="D104" s="48"/>
      <c r="E104" s="48"/>
      <c r="F104" s="49"/>
      <c r="G104" s="3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49"/>
      <c r="B105" s="48"/>
      <c r="C105" s="48"/>
      <c r="D105" s="48"/>
      <c r="E105" s="48"/>
      <c r="F105" s="49"/>
      <c r="G105" s="3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49"/>
      <c r="B106" s="48"/>
      <c r="C106" s="48"/>
      <c r="D106" s="48"/>
      <c r="E106" s="48"/>
      <c r="F106" s="49"/>
      <c r="G106" s="3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49"/>
      <c r="B107" s="48"/>
      <c r="C107" s="48"/>
      <c r="D107" s="48"/>
      <c r="E107" s="48"/>
      <c r="F107" s="49"/>
      <c r="G107" s="3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73"/>
      <c r="B108" s="74"/>
      <c r="C108" s="74"/>
      <c r="D108" s="74"/>
      <c r="E108" s="48"/>
      <c r="F108" s="30" t="str">
        <f>IFERROR(HLOOKUP(E108,GroupMark!$A$1:$P$40,36,FALSE),"")</f>
        <v/>
      </c>
      <c r="G108" s="30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73"/>
      <c r="B109" s="74"/>
      <c r="C109" s="74"/>
      <c r="D109" s="74"/>
      <c r="E109" s="48"/>
      <c r="F109" s="30" t="str">
        <f>IFERROR(HLOOKUP(E109,GroupMark!$A$1:$P$40,36,FALSE),"")</f>
        <v/>
      </c>
      <c r="G109" s="3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73"/>
      <c r="B110" s="74"/>
      <c r="C110" s="74"/>
      <c r="D110" s="74"/>
      <c r="E110" s="48"/>
      <c r="F110" s="30" t="str">
        <f>IFERROR(HLOOKUP(E110,GroupMark!$A$1:$P$40,36,FALSE),"")</f>
        <v/>
      </c>
      <c r="G110" s="30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73"/>
      <c r="B111" s="74"/>
      <c r="C111" s="74"/>
      <c r="D111" s="74"/>
      <c r="E111" s="48"/>
      <c r="F111" s="30" t="str">
        <f>IFERROR(HLOOKUP(E111,GroupMark!$A$1:$P$40,36,FALSE),"")</f>
        <v/>
      </c>
      <c r="G111" s="30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73"/>
      <c r="B112" s="74"/>
      <c r="C112" s="74"/>
      <c r="D112" s="74"/>
      <c r="E112" s="48"/>
      <c r="F112" s="30" t="str">
        <f>IFERROR(HLOOKUP(E112,GroupMark!$A$1:$P$40,36,FALSE),"")</f>
        <v/>
      </c>
      <c r="G112" s="3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73"/>
      <c r="B113" s="74"/>
      <c r="C113" s="74"/>
      <c r="D113" s="74"/>
      <c r="E113" s="48"/>
      <c r="F113" s="30" t="str">
        <f>IFERROR(HLOOKUP(E113,GroupMark!$A$1:$P$40,36,FALSE),"")</f>
        <v/>
      </c>
      <c r="G113" s="30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73"/>
      <c r="B114" s="74"/>
      <c r="C114" s="74"/>
      <c r="D114" s="74"/>
      <c r="E114" s="48"/>
      <c r="F114" s="30" t="str">
        <f>IFERROR(HLOOKUP(E114,GroupMark!$A$1:$P$40,36,FALSE),"")</f>
        <v/>
      </c>
      <c r="G114" s="3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75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42:D48"/>
    <mergeCell ref="D49:D54"/>
    <mergeCell ref="D55:D61"/>
    <mergeCell ref="D62:D68"/>
    <mergeCell ref="D2:D6"/>
    <mergeCell ref="D7:D11"/>
    <mergeCell ref="D12:D17"/>
    <mergeCell ref="D18:D23"/>
    <mergeCell ref="D24:D29"/>
    <mergeCell ref="D30:D35"/>
    <mergeCell ref="D36:D41"/>
  </mergeCells>
  <hyperlinks>
    <hyperlink r:id="rId1" ref="C42"/>
    <hyperlink r:id="rId2" ref="C46"/>
    <hyperlink r:id="rId3" ref="C51"/>
    <hyperlink r:id="rId4" ref="C52"/>
  </hyperlinks>
  <printOptions/>
  <pageMargins bottom="0.75" footer="0.0" header="0.0" left="0.7" right="0.7" top="0.75"/>
  <pageSetup orientation="landscape"/>
  <drawing r:id="rId5"/>
</worksheet>
</file>